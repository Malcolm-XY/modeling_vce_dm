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modeling_vce_dm\results_cnn_subnetwork_evaluation\"/>
    </mc:Choice>
  </mc:AlternateContent>
  <xr:revisionPtr revIDLastSave="0" documentId="13_ncr:1_{B35C111E-7D74-4EC2-8CC2-C980BFC183B4}" xr6:coauthVersionLast="47" xr6:coauthVersionMax="47" xr10:uidLastSave="{00000000-0000-0000-0000-000000000000}"/>
  <bookViews>
    <workbookView xWindow="-120" yWindow="-120" windowWidth="29040" windowHeight="15720" tabRatio="633" activeTab="1" xr2:uid="{00000000-000D-0000-FFFF-FFFF00000000}"/>
  </bookViews>
  <sheets>
    <sheet name="pcc_Residual_partio" sheetId="9" r:id="rId1"/>
    <sheet name="pcc_Residual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9" l="1"/>
  <c r="K15" i="9"/>
  <c r="K16" i="9"/>
  <c r="K17" i="9"/>
  <c r="K18" i="9"/>
  <c r="K19" i="9"/>
  <c r="K20" i="9"/>
  <c r="K13" i="9"/>
  <c r="K5" i="9"/>
  <c r="K6" i="9"/>
  <c r="K7" i="9"/>
  <c r="K8" i="9"/>
  <c r="K9" i="9"/>
  <c r="K10" i="9"/>
  <c r="K11" i="9"/>
  <c r="K4" i="9"/>
  <c r="V41" i="9"/>
  <c r="J41" i="9"/>
  <c r="V40" i="9"/>
  <c r="J40" i="9"/>
  <c r="V39" i="9"/>
  <c r="J39" i="9"/>
  <c r="V38" i="9"/>
  <c r="J38" i="9"/>
  <c r="V37" i="9"/>
  <c r="J37" i="9"/>
  <c r="V36" i="9"/>
  <c r="J36" i="9"/>
  <c r="V35" i="9"/>
  <c r="J35" i="9"/>
  <c r="V34" i="9"/>
  <c r="J34" i="9"/>
  <c r="V32" i="9"/>
  <c r="J32" i="9"/>
  <c r="V31" i="9"/>
  <c r="J31" i="9"/>
  <c r="V30" i="9"/>
  <c r="J30" i="9"/>
  <c r="V29" i="9"/>
  <c r="J29" i="9"/>
  <c r="V28" i="9"/>
  <c r="J28" i="9"/>
  <c r="V27" i="9"/>
  <c r="J27" i="9"/>
  <c r="V26" i="9"/>
  <c r="J26" i="9"/>
  <c r="V25" i="9"/>
  <c r="J25" i="9"/>
  <c r="V23" i="9"/>
  <c r="J23" i="9"/>
  <c r="V20" i="9"/>
  <c r="J20" i="9"/>
  <c r="V19" i="9"/>
  <c r="J19" i="9"/>
  <c r="V18" i="9"/>
  <c r="J18" i="9"/>
  <c r="V17" i="9"/>
  <c r="J17" i="9"/>
  <c r="V16" i="9"/>
  <c r="J16" i="9"/>
  <c r="V15" i="9"/>
  <c r="J15" i="9"/>
  <c r="V14" i="9"/>
  <c r="J14" i="9"/>
  <c r="V13" i="9"/>
  <c r="J13" i="9"/>
  <c r="V11" i="9"/>
  <c r="J11" i="9"/>
  <c r="V10" i="9"/>
  <c r="J10" i="9"/>
  <c r="V9" i="9"/>
  <c r="J9" i="9"/>
  <c r="V8" i="9"/>
  <c r="J8" i="9"/>
  <c r="V7" i="9"/>
  <c r="J7" i="9"/>
  <c r="V6" i="9"/>
  <c r="J6" i="9"/>
  <c r="V5" i="9"/>
  <c r="J5" i="9"/>
  <c r="V4" i="9"/>
  <c r="J4" i="9"/>
  <c r="V2" i="9"/>
  <c r="J2" i="9"/>
  <c r="U77" i="8"/>
  <c r="U76" i="8"/>
  <c r="U75" i="8"/>
  <c r="U74" i="8"/>
  <c r="U73" i="8"/>
  <c r="U72" i="8"/>
  <c r="U71" i="8"/>
  <c r="U70" i="8"/>
  <c r="U68" i="8"/>
  <c r="U67" i="8"/>
  <c r="U66" i="8"/>
  <c r="U65" i="8"/>
  <c r="U64" i="8"/>
  <c r="U63" i="8"/>
  <c r="U62" i="8"/>
  <c r="U61" i="8"/>
  <c r="U59" i="8"/>
  <c r="U58" i="8"/>
  <c r="U57" i="8"/>
  <c r="U56" i="8"/>
  <c r="U55" i="8"/>
  <c r="U54" i="8"/>
  <c r="U53" i="8"/>
  <c r="U52" i="8"/>
  <c r="U50" i="8"/>
  <c r="U49" i="8"/>
  <c r="U48" i="8"/>
  <c r="U47" i="8"/>
  <c r="U46" i="8"/>
  <c r="U45" i="8"/>
  <c r="U44" i="8"/>
  <c r="U43" i="8"/>
  <c r="U41" i="8"/>
  <c r="U38" i="8"/>
  <c r="U37" i="8"/>
  <c r="U36" i="8"/>
  <c r="U35" i="8"/>
  <c r="U34" i="8"/>
  <c r="U33" i="8"/>
  <c r="U32" i="8"/>
  <c r="U31" i="8"/>
  <c r="U29" i="8"/>
  <c r="U28" i="8"/>
  <c r="U27" i="8"/>
  <c r="U26" i="8"/>
  <c r="U25" i="8"/>
  <c r="U24" i="8"/>
  <c r="U23" i="8"/>
  <c r="U22" i="8"/>
  <c r="U20" i="8"/>
  <c r="U19" i="8"/>
  <c r="U18" i="8"/>
  <c r="U17" i="8"/>
  <c r="U16" i="8"/>
  <c r="U15" i="8"/>
  <c r="U14" i="8"/>
  <c r="U13" i="8"/>
  <c r="U11" i="8"/>
  <c r="U10" i="8"/>
  <c r="U9" i="8"/>
  <c r="U8" i="8"/>
  <c r="U7" i="8"/>
  <c r="U6" i="8"/>
  <c r="U5" i="8"/>
  <c r="U4" i="8"/>
  <c r="U2" i="8"/>
  <c r="J4" i="8"/>
  <c r="J5" i="8"/>
  <c r="J6" i="8"/>
  <c r="J7" i="8"/>
  <c r="J8" i="8"/>
  <c r="J9" i="8"/>
  <c r="J10" i="8"/>
  <c r="J11" i="8"/>
  <c r="J13" i="8"/>
  <c r="J14" i="8"/>
  <c r="J15" i="8"/>
  <c r="J16" i="8"/>
  <c r="J17" i="8"/>
  <c r="J18" i="8"/>
  <c r="J19" i="8"/>
  <c r="J20" i="8"/>
  <c r="J22" i="8"/>
  <c r="J23" i="8"/>
  <c r="J24" i="8"/>
  <c r="J25" i="8"/>
  <c r="J26" i="8"/>
  <c r="J27" i="8"/>
  <c r="J28" i="8"/>
  <c r="J29" i="8"/>
  <c r="J31" i="8"/>
  <c r="J32" i="8"/>
  <c r="J33" i="8"/>
  <c r="J34" i="8"/>
  <c r="J35" i="8"/>
  <c r="J36" i="8"/>
  <c r="J37" i="8"/>
  <c r="J38" i="8"/>
  <c r="J41" i="8"/>
  <c r="J43" i="8"/>
  <c r="J44" i="8"/>
  <c r="J45" i="8"/>
  <c r="J46" i="8"/>
  <c r="J47" i="8"/>
  <c r="J48" i="8"/>
  <c r="J49" i="8"/>
  <c r="J50" i="8"/>
  <c r="J52" i="8"/>
  <c r="J53" i="8"/>
  <c r="J54" i="8"/>
  <c r="J55" i="8"/>
  <c r="J56" i="8"/>
  <c r="J57" i="8"/>
  <c r="J58" i="8"/>
  <c r="J59" i="8"/>
  <c r="J61" i="8"/>
  <c r="J62" i="8"/>
  <c r="J63" i="8"/>
  <c r="J64" i="8"/>
  <c r="J65" i="8"/>
  <c r="J66" i="8"/>
  <c r="J67" i="8"/>
  <c r="J68" i="8"/>
  <c r="J70" i="8"/>
  <c r="J71" i="8"/>
  <c r="J72" i="8"/>
  <c r="J73" i="8"/>
  <c r="J74" i="8"/>
  <c r="J75" i="8"/>
  <c r="J76" i="8"/>
  <c r="J77" i="8"/>
  <c r="J2" i="8"/>
</calcChain>
</file>

<file path=xl/sharedStrings.xml><?xml version="1.0" encoding="utf-8"?>
<sst xmlns="http://schemas.openxmlformats.org/spreadsheetml/2006/main" count="290" uniqueCount="23">
  <si>
    <t>sr</t>
    <phoneticPr fontId="1" type="noConversion"/>
  </si>
  <si>
    <t>origin fcs</t>
    <phoneticPr fontId="1" type="noConversion"/>
  </si>
  <si>
    <t>accuracy</t>
    <phoneticPr fontId="1" type="noConversion"/>
  </si>
  <si>
    <t>f1 score</t>
    <phoneticPr fontId="1" type="noConversion"/>
  </si>
  <si>
    <t>accuracy_stdv</t>
    <phoneticPr fontId="1" type="noConversion"/>
  </si>
  <si>
    <t>f1 score_stdv</t>
    <phoneticPr fontId="1" type="noConversion"/>
  </si>
  <si>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</si>
  <si>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</si>
  <si>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</si>
  <si>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</si>
  <si>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</si>
  <si>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</si>
  <si>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</si>
  <si>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</si>
  <si>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</si>
  <si>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Sigma=0.0348</t>
    <phoneticPr fontId="1" type="noConversion"/>
  </si>
  <si>
    <t>Advanced Model</t>
    <phoneticPr fontId="1" type="noConversion"/>
  </si>
  <si>
    <t>Advanced, sigma=0.1328</t>
    <phoneticPr fontId="1" type="noConversion"/>
  </si>
  <si>
    <t>Model Config: Basic Linear Ratio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</si>
  <si>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</si>
  <si>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</si>
  <si>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Model Config: Advanced Linear</t>
    <phoneticPr fontId="1" type="noConversion"/>
  </si>
  <si>
    <t>MBPE(simple)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</si>
</sst>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/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BE0-D630-4490-8E48-23B7EF3BF73E}">
  <dimension ref="A1:V41"/>
  <sheetViews>
    <sheetView zoomScaleNormal="100" workbookViewId="0"/>
  </sheetViews>
  <sheetFormatPr defaultRowHeight="14.25" x14ac:dyDescent="0.2"/>
  <cols>
    <col min="1" max="2" width="15" style="40" customWidth="1"/>
    <col min="3" max="12" width="9" style="40"/>
    <col min="13" max="14" width="15" style="40" customWidth="1"/>
    <col min="15" max="16384" width="9" style="40"/>
  </cols>
  <sheetData>
    <row r="1" spans="1:22" ht="15" thickBot="1" x14ac:dyDescent="0.25">
      <c r="A1" s="44" t="s">
        <v>2</v>
      </c>
      <c r="B1" s="46" t="s">
        <v>0</v>
      </c>
      <c r="C1" s="45">
        <v>1</v>
      </c>
      <c r="D1" s="45">
        <v>0.75</v>
      </c>
      <c r="E1" s="45">
        <v>0.5</v>
      </c>
      <c r="F1" s="45">
        <v>0.3</v>
      </c>
      <c r="G1" s="45">
        <v>0.2</v>
      </c>
      <c r="H1" s="45">
        <v>0.1</v>
      </c>
      <c r="I1" s="46">
        <v>0.05</v>
      </c>
      <c r="J1" s="66" t="s">
        <v>22</v>
      </c>
      <c r="K1" s="66"/>
      <c r="M1" s="44" t="s">
        <v>4</v>
      </c>
      <c r="N1" s="46" t="s">
        <v>0</v>
      </c>
      <c r="O1" s="44">
        <v>1</v>
      </c>
      <c r="P1" s="45">
        <v>0.75</v>
      </c>
      <c r="Q1" s="45">
        <v>0.5</v>
      </c>
      <c r="R1" s="45">
        <v>0.3</v>
      </c>
      <c r="S1" s="45">
        <v>0.2</v>
      </c>
      <c r="T1" s="45">
        <v>0.1</v>
      </c>
      <c r="U1" s="46">
        <v>0.05</v>
      </c>
      <c r="V1" s="66" t="s">
        <v>22</v>
      </c>
    </row>
    <row r="2" spans="1:22" ht="15" thickBot="1" x14ac:dyDescent="0.25">
      <c r="A2" s="37" t="s">
        <v>1</v>
      </c>
      <c r="B2" s="38"/>
      <c r="C2" s="48">
        <v>93.101364775358491</v>
      </c>
      <c r="D2" s="48">
        <v>91.326663725464783</v>
      </c>
      <c r="E2" s="48">
        <v>89.722561037148537</v>
      </c>
      <c r="F2" s="48">
        <v>83.857204647099024</v>
      </c>
      <c r="G2" s="48">
        <v>76.242949045118635</v>
      </c>
      <c r="H2" s="48">
        <v>60.40277741733636</v>
      </c>
      <c r="I2" s="42">
        <v>47.740900296138662</v>
      </c>
      <c r="J2" s="66">
        <f>C2*(1-1)^2+D2*(1-0.75)^2+E2*(1-0.5)^2+F2*(1-0.3)^2+G2*(1-0.2)^2+H2*(1-0.1)^2+I2*(1-0.05)^2</f>
        <v>210.03648663339072</v>
      </c>
      <c r="K2" s="66"/>
      <c r="M2" s="37" t="s">
        <v>1</v>
      </c>
      <c r="N2" s="38"/>
      <c r="O2" s="40">
        <v>3.4649270444699574</v>
      </c>
      <c r="P2" s="40">
        <v>4.4611797621615326</v>
      </c>
      <c r="Q2" s="40">
        <v>4.7712065248821434</v>
      </c>
      <c r="R2" s="40">
        <v>5.3965689103010375</v>
      </c>
      <c r="S2" s="40">
        <v>7.9323757260741923</v>
      </c>
      <c r="T2" s="40">
        <v>9.9900413492801565</v>
      </c>
      <c r="U2" s="49">
        <v>9.7565309936118432</v>
      </c>
      <c r="V2" s="66">
        <f>O2*(1-1)^2+P2*(1-0.75)^2+Q2*(1-0.5)^2+R2*(1-0.3)^2+S2*(1-0.2)^2+T2*(1-0.1)^2+U2*(1-0.05)^2</f>
        <v>26.089867311742239</v>
      </c>
    </row>
    <row r="3" spans="1:22" ht="15" thickBot="1" x14ac:dyDescent="0.25">
      <c r="A3" s="29" t="s">
        <v>20</v>
      </c>
      <c r="B3" s="30"/>
      <c r="C3" s="30"/>
      <c r="D3" s="30"/>
      <c r="E3" s="30"/>
      <c r="F3" s="30"/>
      <c r="G3" s="30"/>
      <c r="H3" s="30"/>
      <c r="I3" s="31"/>
      <c r="J3" s="66"/>
      <c r="K3" s="66"/>
      <c r="M3" s="29" t="s">
        <v>20</v>
      </c>
      <c r="N3" s="30"/>
      <c r="O3" s="30"/>
      <c r="P3" s="30"/>
      <c r="Q3" s="30"/>
      <c r="R3" s="30"/>
      <c r="S3" s="30"/>
      <c r="T3" s="30"/>
      <c r="U3" s="31"/>
      <c r="V3" s="66"/>
    </row>
    <row r="4" spans="1:22" x14ac:dyDescent="0.2">
      <c r="A4" s="26" t="s">
        <v>6</v>
      </c>
      <c r="B4" s="47" t="s">
        <v>7</v>
      </c>
      <c r="C4" s="56">
        <v>93.187876481053763</v>
      </c>
      <c r="D4" s="52">
        <v>92.419943079092363</v>
      </c>
      <c r="E4" s="52">
        <v>91.030305913834312</v>
      </c>
      <c r="F4" s="52">
        <v>87.638062036292141</v>
      </c>
      <c r="G4" s="52">
        <v>81.386496999685718</v>
      </c>
      <c r="H4" s="52">
        <v>61.648901230402799</v>
      </c>
      <c r="I4" s="53">
        <v>50.1996153369262</v>
      </c>
      <c r="J4" s="66">
        <f t="shared" ref="J4:J32" si="0">C4*(1-1)^2+D4*(1-0.75)^2+E4*(1-0.5)^2+F4*(1-0.3)^2+G4*(1-0.2)^2+H4*(1-0.1)^2+I4*(1-0.05)^2</f>
        <v>218.80459423668603</v>
      </c>
      <c r="K4" s="66">
        <f>J4-218</f>
        <v>0.80459423668602881</v>
      </c>
      <c r="M4" s="29" t="s">
        <v>7</v>
      </c>
      <c r="N4" s="31"/>
      <c r="O4" s="56">
        <v>3.6629641008104143</v>
      </c>
      <c r="P4" s="52">
        <v>4.0854882292556409</v>
      </c>
      <c r="Q4" s="52">
        <v>4.1120388115098363</v>
      </c>
      <c r="R4" s="52">
        <v>5.4598108584907283</v>
      </c>
      <c r="S4" s="52">
        <v>7.5605060738981908</v>
      </c>
      <c r="T4" s="52">
        <v>10.604590630198228</v>
      </c>
      <c r="U4" s="53">
        <v>8.9515611008684157</v>
      </c>
      <c r="V4" s="66">
        <f t="shared" ref="V4:V32" si="1">O4*(1-1)^2+P4*(1-0.75)^2+Q4*(1-0.5)^2+R4*(1-0.3)^2+S4*(1-0.2)^2+T4*(1-0.1)^2+U4*(1-0.05)^2</f>
        <v>25.465886229155544</v>
      </c>
    </row>
    <row r="5" spans="1:22" x14ac:dyDescent="0.2">
      <c r="A5" s="27"/>
      <c r="B5" s="41" t="s">
        <v>8</v>
      </c>
      <c r="C5" s="57">
        <v>93.308803132668416</v>
      </c>
      <c r="D5" s="40">
        <v>92.32654838421324</v>
      </c>
      <c r="E5" s="40">
        <v>90.944131581299729</v>
      </c>
      <c r="F5" s="40">
        <v>88.444112838346342</v>
      </c>
      <c r="G5" s="40">
        <v>81.14231668670719</v>
      </c>
      <c r="H5" s="40">
        <v>62.606790139476402</v>
      </c>
      <c r="I5" s="49">
        <v>47.764790352857723</v>
      </c>
      <c r="J5" s="66">
        <f t="shared" si="0"/>
        <v>217.59436344605055</v>
      </c>
      <c r="K5" s="66">
        <f t="shared" ref="K5:K11" si="2">J5-218</f>
        <v>-0.40563655394944931</v>
      </c>
      <c r="M5" s="32" t="s">
        <v>8</v>
      </c>
      <c r="N5" s="33"/>
      <c r="O5" s="57">
        <v>3.8099284628268744</v>
      </c>
      <c r="P5" s="40">
        <v>4.3923869286198984</v>
      </c>
      <c r="Q5" s="40">
        <v>4.3803548174400602</v>
      </c>
      <c r="R5" s="40">
        <v>5.4605577308245961</v>
      </c>
      <c r="S5" s="40">
        <v>8.0077218140585149</v>
      </c>
      <c r="T5" s="40">
        <v>10.235120772896638</v>
      </c>
      <c r="U5" s="49">
        <v>8.5650148358917502</v>
      </c>
      <c r="V5" s="66">
        <f t="shared" si="1"/>
        <v>25.190601851938844</v>
      </c>
    </row>
    <row r="6" spans="1:22" x14ac:dyDescent="0.2">
      <c r="A6" s="27"/>
      <c r="B6" s="41" t="s">
        <v>9</v>
      </c>
      <c r="C6" s="57">
        <v>93.311706848675158</v>
      </c>
      <c r="D6" s="40">
        <v>92.970564912614591</v>
      </c>
      <c r="E6" s="40">
        <v>92.714911028642135</v>
      </c>
      <c r="F6" s="40">
        <v>91.618528995348854</v>
      </c>
      <c r="G6" s="40">
        <v>84.537879508761606</v>
      </c>
      <c r="H6" s="40">
        <v>58.728483810413593</v>
      </c>
      <c r="I6" s="49">
        <v>46.321297473738248</v>
      </c>
      <c r="J6" s="66">
        <f t="shared" si="0"/>
        <v>217.3617530140111</v>
      </c>
      <c r="K6" s="66">
        <f t="shared" si="2"/>
        <v>-0.63824698598889995</v>
      </c>
      <c r="M6" s="32" t="s">
        <v>9</v>
      </c>
      <c r="N6" s="33"/>
      <c r="O6" s="57">
        <v>3.6854249541106205</v>
      </c>
      <c r="P6" s="40">
        <v>3.5652997191661031</v>
      </c>
      <c r="Q6" s="40">
        <v>3.9267489059362291</v>
      </c>
      <c r="R6" s="40">
        <v>4.1607335839464268</v>
      </c>
      <c r="S6" s="40">
        <v>6.7329594829893642</v>
      </c>
      <c r="T6" s="40">
        <v>10.377592524298565</v>
      </c>
      <c r="U6" s="49">
        <v>7.8998713561129659</v>
      </c>
      <c r="V6" s="66">
        <f t="shared" si="1"/>
        <v>23.087855827752669</v>
      </c>
    </row>
    <row r="7" spans="1:22" x14ac:dyDescent="0.2">
      <c r="A7" s="27"/>
      <c r="B7" s="41" t="s">
        <v>10</v>
      </c>
      <c r="C7" s="57">
        <v>93.259627390086976</v>
      </c>
      <c r="D7" s="40">
        <v>92.96466520759985</v>
      </c>
      <c r="E7" s="40">
        <v>92.449568479542776</v>
      </c>
      <c r="F7" s="40">
        <v>90.955452325135454</v>
      </c>
      <c r="G7" s="40">
        <v>84.191627955259108</v>
      </c>
      <c r="H7" s="40">
        <v>61.887989227127122</v>
      </c>
      <c r="I7" s="49">
        <v>46.872291282796567</v>
      </c>
      <c r="J7" s="66">
        <f t="shared" si="0"/>
        <v>219.80501138273976</v>
      </c>
      <c r="K7" s="66">
        <f t="shared" si="2"/>
        <v>1.8050113827397638</v>
      </c>
      <c r="M7" s="32" t="s">
        <v>10</v>
      </c>
      <c r="N7" s="33"/>
      <c r="O7" s="57">
        <v>3.3697427990054161</v>
      </c>
      <c r="P7" s="40">
        <v>3.5456273836698302</v>
      </c>
      <c r="Q7" s="40">
        <v>3.8389563711719141</v>
      </c>
      <c r="R7" s="40">
        <v>4.3734364854011272</v>
      </c>
      <c r="S7" s="40">
        <v>7.1466759991199762</v>
      </c>
      <c r="T7" s="40">
        <v>10.218201810253335</v>
      </c>
      <c r="U7" s="49">
        <v>6.8495020521328724</v>
      </c>
      <c r="V7" s="66">
        <f t="shared" si="1"/>
        <v>22.356616389910801</v>
      </c>
    </row>
    <row r="8" spans="1:22" x14ac:dyDescent="0.2">
      <c r="A8" s="27"/>
      <c r="B8" s="41" t="s">
        <v>11</v>
      </c>
      <c r="C8" s="57">
        <v>93.593909405214006</v>
      </c>
      <c r="D8" s="40">
        <v>93.284284466128582</v>
      </c>
      <c r="E8" s="40">
        <v>92.669714559237818</v>
      </c>
      <c r="F8" s="40">
        <v>89.612317868955046</v>
      </c>
      <c r="G8" s="40">
        <v>84.325126803288398</v>
      </c>
      <c r="H8" s="40">
        <v>63.609272859915158</v>
      </c>
      <c r="I8" s="49">
        <v>49.422076892245308</v>
      </c>
      <c r="J8" s="66">
        <f t="shared" si="0"/>
        <v>223.0027487406177</v>
      </c>
      <c r="K8" s="66">
        <f t="shared" si="2"/>
        <v>5.0027487406177045</v>
      </c>
      <c r="M8" s="32" t="s">
        <v>11</v>
      </c>
      <c r="N8" s="33"/>
      <c r="O8" s="57">
        <v>3.5074053242674119</v>
      </c>
      <c r="P8" s="40">
        <v>3.9399538658766482</v>
      </c>
      <c r="Q8" s="40">
        <v>4.159993860751583</v>
      </c>
      <c r="R8" s="40">
        <v>5.1168143294470738</v>
      </c>
      <c r="S8" s="40">
        <v>6.5623946230239643</v>
      </c>
      <c r="T8" s="40">
        <v>11.499157764357163</v>
      </c>
      <c r="U8" s="49">
        <v>10.586918286592827</v>
      </c>
      <c r="V8" s="66">
        <f t="shared" si="1"/>
        <v>26.862428704748922</v>
      </c>
    </row>
    <row r="9" spans="1:22" x14ac:dyDescent="0.2">
      <c r="A9" s="27"/>
      <c r="B9" s="41" t="s">
        <v>12</v>
      </c>
      <c r="C9" s="57">
        <v>93.271403731866201</v>
      </c>
      <c r="D9" s="40">
        <v>93.159332404836263</v>
      </c>
      <c r="E9" s="40">
        <v>92.607934901397655</v>
      </c>
      <c r="F9" s="40">
        <v>91.395767552775823</v>
      </c>
      <c r="G9" s="40">
        <v>86.100098905123176</v>
      </c>
      <c r="H9" s="40">
        <v>60.13909866579008</v>
      </c>
      <c r="I9" s="49">
        <v>45.242222395234101</v>
      </c>
      <c r="J9" s="66">
        <f t="shared" si="0"/>
        <v>218.40620703177942</v>
      </c>
      <c r="K9" s="66">
        <f t="shared" si="2"/>
        <v>0.40620703177941664</v>
      </c>
      <c r="M9" s="32" t="s">
        <v>12</v>
      </c>
      <c r="N9" s="33"/>
      <c r="O9" s="57">
        <v>3.311889145333164</v>
      </c>
      <c r="P9" s="40">
        <v>3.5622318729197451</v>
      </c>
      <c r="Q9" s="40">
        <v>3.7249656002914562</v>
      </c>
      <c r="R9" s="40">
        <v>4.592478163076521</v>
      </c>
      <c r="S9" s="40">
        <v>5.9203738735922764</v>
      </c>
      <c r="T9" s="40">
        <v>9.725428258600461</v>
      </c>
      <c r="U9" s="49">
        <v>7.8411073439630128</v>
      </c>
      <c r="V9" s="66">
        <f t="shared" si="1"/>
        <v>22.147430738529895</v>
      </c>
    </row>
    <row r="10" spans="1:22" ht="15" thickBot="1" x14ac:dyDescent="0.25">
      <c r="A10" s="28"/>
      <c r="B10" s="41" t="s">
        <v>13</v>
      </c>
      <c r="C10" s="58">
        <v>93.614587208078504</v>
      </c>
      <c r="D10" s="50">
        <v>92.683728521296331</v>
      </c>
      <c r="E10" s="50">
        <v>92.067301620256245</v>
      </c>
      <c r="F10" s="50">
        <v>89.309630706147985</v>
      </c>
      <c r="G10" s="50">
        <v>84.609852449704022</v>
      </c>
      <c r="H10" s="50">
        <v>64.470915261666036</v>
      </c>
      <c r="I10" s="51">
        <v>50.663073786682133</v>
      </c>
      <c r="J10" s="66">
        <f t="shared" si="0"/>
        <v>224.6664485058983</v>
      </c>
      <c r="K10" s="66">
        <f t="shared" si="2"/>
        <v>6.6664485058983018</v>
      </c>
      <c r="M10" s="37" t="s">
        <v>13</v>
      </c>
      <c r="N10" s="38"/>
      <c r="O10" s="58">
        <v>3.5679190940153709</v>
      </c>
      <c r="P10" s="50">
        <v>5.0380655017886244</v>
      </c>
      <c r="Q10" s="50">
        <v>4.1912600383848426</v>
      </c>
      <c r="R10" s="50">
        <v>5.0446554677555504</v>
      </c>
      <c r="S10" s="50">
        <v>6.8308155253380578</v>
      </c>
      <c r="T10" s="50">
        <v>11.985648803016417</v>
      </c>
      <c r="U10" s="51">
        <v>9.3215519312796236</v>
      </c>
      <c r="V10" s="66">
        <f t="shared" si="1"/>
        <v>26.327373367297731</v>
      </c>
    </row>
    <row r="11" spans="1:22" ht="15" thickBot="1" x14ac:dyDescent="0.25">
      <c r="A11" s="44" t="s">
        <v>14</v>
      </c>
      <c r="B11" s="64" t="s">
        <v>15</v>
      </c>
      <c r="C11" s="59">
        <v>93.118097907421358</v>
      </c>
      <c r="D11" s="54">
        <v>91.523464735854105</v>
      </c>
      <c r="E11" s="54">
        <v>89.983999284884248</v>
      </c>
      <c r="F11" s="54">
        <v>85.977332560546969</v>
      </c>
      <c r="G11" s="54">
        <v>80.809271706502642</v>
      </c>
      <c r="H11" s="54">
        <v>64.483571080488019</v>
      </c>
      <c r="I11" s="55">
        <v>49.199995963056203</v>
      </c>
      <c r="J11" s="66">
        <f t="shared" si="0"/>
        <v>218.6977321458952</v>
      </c>
      <c r="K11" s="66">
        <f t="shared" si="2"/>
        <v>0.69773214589520194</v>
      </c>
      <c r="M11" s="44" t="s">
        <v>14</v>
      </c>
      <c r="N11" s="64" t="s">
        <v>15</v>
      </c>
      <c r="O11" s="59">
        <v>3.7095020112708061</v>
      </c>
      <c r="P11" s="54">
        <v>4.1472545580497782</v>
      </c>
      <c r="Q11" s="54">
        <v>5.2794593511448591</v>
      </c>
      <c r="R11" s="54">
        <v>4.6638117789428968</v>
      </c>
      <c r="S11" s="54">
        <v>6.2635338476232363</v>
      </c>
      <c r="T11" s="54">
        <v>9.2938511603856284</v>
      </c>
      <c r="U11" s="55">
        <v>8.7638206762757687</v>
      </c>
      <c r="V11" s="66">
        <f t="shared" si="1"/>
        <v>23.310365282076457</v>
      </c>
    </row>
    <row r="12" spans="1:22" ht="15" thickBot="1" x14ac:dyDescent="0.25">
      <c r="A12" s="29" t="s">
        <v>19</v>
      </c>
      <c r="B12" s="30"/>
      <c r="C12" s="30"/>
      <c r="D12" s="30"/>
      <c r="E12" s="30"/>
      <c r="F12" s="30"/>
      <c r="G12" s="30"/>
      <c r="H12" s="30"/>
      <c r="I12" s="31"/>
      <c r="J12" s="66"/>
      <c r="K12" s="66"/>
      <c r="M12" s="29" t="s">
        <v>19</v>
      </c>
      <c r="N12" s="30"/>
      <c r="O12" s="30"/>
      <c r="P12" s="30"/>
      <c r="Q12" s="30"/>
      <c r="R12" s="30"/>
      <c r="S12" s="30"/>
      <c r="T12" s="30"/>
      <c r="U12" s="31"/>
      <c r="V12" s="66"/>
    </row>
    <row r="13" spans="1:22" x14ac:dyDescent="0.2">
      <c r="A13" s="26" t="s">
        <v>6</v>
      </c>
      <c r="B13" s="60" t="s">
        <v>7</v>
      </c>
      <c r="C13" s="52">
        <v>92.79746076234801</v>
      </c>
      <c r="D13" s="52">
        <v>92.09972981311833</v>
      </c>
      <c r="E13" s="52">
        <v>91.994123363235545</v>
      </c>
      <c r="F13" s="52">
        <v>89.541535826434497</v>
      </c>
      <c r="G13" s="52">
        <v>81.67196083011099</v>
      </c>
      <c r="H13" s="52">
        <v>63.762388371295017</v>
      </c>
      <c r="I13" s="53">
        <v>48.357978875249778</v>
      </c>
      <c r="J13" s="66">
        <f t="shared" si="0"/>
        <v>220.19078195601463</v>
      </c>
      <c r="K13" s="66">
        <f>J13-231</f>
        <v>-10.809218043985368</v>
      </c>
      <c r="M13" s="26" t="s">
        <v>6</v>
      </c>
      <c r="N13" s="60" t="s">
        <v>7</v>
      </c>
      <c r="O13" s="52">
        <v>3.5644328509299981</v>
      </c>
      <c r="P13" s="52">
        <v>4.2050438921565183</v>
      </c>
      <c r="Q13" s="52">
        <v>3.8992827190949368</v>
      </c>
      <c r="R13" s="52">
        <v>4.4855441585972624</v>
      </c>
      <c r="S13" s="52">
        <v>6.3300685901903293</v>
      </c>
      <c r="T13" s="52">
        <v>9.4934523864393956</v>
      </c>
      <c r="U13" s="53">
        <v>7.6336882851862198</v>
      </c>
      <c r="V13" s="66">
        <f t="shared" si="1"/>
        <v>22.06589656886446</v>
      </c>
    </row>
    <row r="14" spans="1:22" x14ac:dyDescent="0.2">
      <c r="A14" s="27"/>
      <c r="B14" s="61" t="s">
        <v>8</v>
      </c>
      <c r="C14" s="40">
        <v>92.97743636767332</v>
      </c>
      <c r="D14" s="40">
        <v>92.087691069991962</v>
      </c>
      <c r="E14" s="40">
        <v>91.488331790644082</v>
      </c>
      <c r="F14" s="40">
        <v>87.81749842126662</v>
      </c>
      <c r="G14" s="40">
        <v>80.833879762512382</v>
      </c>
      <c r="H14" s="40">
        <v>68.633586795733521</v>
      </c>
      <c r="I14" s="49">
        <v>51.679287883113183</v>
      </c>
      <c r="J14" s="66">
        <f t="shared" si="0"/>
        <v>225.62558353301787</v>
      </c>
      <c r="K14" s="66">
        <f t="shared" ref="K14:K20" si="3">J14-231</f>
        <v>-5.3744164669821259</v>
      </c>
      <c r="M14" s="27"/>
      <c r="N14" s="61" t="s">
        <v>8</v>
      </c>
      <c r="O14" s="40">
        <v>3.7639591510057691</v>
      </c>
      <c r="P14" s="40">
        <v>4.104491980795232</v>
      </c>
      <c r="Q14" s="40">
        <v>3.870871676227456</v>
      </c>
      <c r="R14" s="40">
        <v>4.5942331539360346</v>
      </c>
      <c r="S14" s="40">
        <v>6.091605017041668</v>
      </c>
      <c r="T14" s="40">
        <v>7.8884246682162882</v>
      </c>
      <c r="U14" s="49">
        <v>9.5582419416123336</v>
      </c>
      <c r="V14" s="66">
        <f t="shared" si="1"/>
        <v>22.389987457752213</v>
      </c>
    </row>
    <row r="15" spans="1:22" x14ac:dyDescent="0.2">
      <c r="A15" s="27"/>
      <c r="B15" s="61" t="s">
        <v>9</v>
      </c>
      <c r="C15" s="40">
        <v>92.962718823980623</v>
      </c>
      <c r="D15" s="40">
        <v>92.579235114490601</v>
      </c>
      <c r="E15" s="40">
        <v>91.736531746237702</v>
      </c>
      <c r="F15" s="40">
        <v>90.831074086569373</v>
      </c>
      <c r="G15" s="40">
        <v>86.960486970763881</v>
      </c>
      <c r="H15" s="40">
        <v>69.958056153888293</v>
      </c>
      <c r="I15" s="49">
        <v>54.800733570359597</v>
      </c>
      <c r="J15" s="66">
        <f t="shared" si="0"/>
        <v>235.005960626822</v>
      </c>
      <c r="K15" s="66">
        <f t="shared" si="3"/>
        <v>4.0059606268220023</v>
      </c>
      <c r="M15" s="27"/>
      <c r="N15" s="61" t="s">
        <v>9</v>
      </c>
      <c r="O15" s="40">
        <v>3.553358547509589</v>
      </c>
      <c r="P15" s="40">
        <v>3.662068131482219</v>
      </c>
      <c r="Q15" s="40">
        <v>4.032821683747013</v>
      </c>
      <c r="R15" s="40">
        <v>3.6348682459522301</v>
      </c>
      <c r="S15" s="40">
        <v>5.3451431508529517</v>
      </c>
      <c r="T15" s="40">
        <v>8.3081066836923902</v>
      </c>
      <c r="U15" s="49">
        <v>7.8130971653945478</v>
      </c>
      <c r="V15" s="66">
        <f t="shared" si="1"/>
        <v>20.219948341776291</v>
      </c>
    </row>
    <row r="16" spans="1:22" x14ac:dyDescent="0.2">
      <c r="A16" s="27"/>
      <c r="B16" s="61" t="s">
        <v>10</v>
      </c>
      <c r="C16" s="40">
        <v>91.673641928851779</v>
      </c>
      <c r="D16" s="40">
        <v>91.867395046669955</v>
      </c>
      <c r="E16" s="40">
        <v>91.50381635365936</v>
      </c>
      <c r="F16" s="40">
        <v>91.379175713746079</v>
      </c>
      <c r="G16" s="40">
        <v>88.831829571766775</v>
      </c>
      <c r="H16" s="40">
        <v>70.023970795595105</v>
      </c>
      <c r="I16" s="49">
        <v>56.420684146633327</v>
      </c>
      <c r="J16" s="66">
        <f t="shared" si="0"/>
        <v>237.88491709126663</v>
      </c>
      <c r="K16" s="66">
        <f t="shared" si="3"/>
        <v>6.8849170912666295</v>
      </c>
      <c r="M16" s="27"/>
      <c r="N16" s="61" t="s">
        <v>10</v>
      </c>
      <c r="O16" s="40">
        <v>4.0996055394193416</v>
      </c>
      <c r="P16" s="40">
        <v>3.9363678196477259</v>
      </c>
      <c r="Q16" s="40">
        <v>4.4775085930829679</v>
      </c>
      <c r="R16" s="40">
        <v>4.3467311762055054</v>
      </c>
      <c r="S16" s="40">
        <v>5.4186476543956417</v>
      </c>
      <c r="T16" s="40">
        <v>8.3279626177723625</v>
      </c>
      <c r="U16" s="49">
        <v>12.764011594024289</v>
      </c>
      <c r="V16" s="66">
        <f t="shared" si="1"/>
        <v>25.228403096155169</v>
      </c>
    </row>
    <row r="17" spans="1:22" x14ac:dyDescent="0.2">
      <c r="A17" s="27"/>
      <c r="B17" s="61" t="s">
        <v>11</v>
      </c>
      <c r="C17" s="40">
        <v>92.522198865618762</v>
      </c>
      <c r="D17" s="40">
        <v>92.258701776543617</v>
      </c>
      <c r="E17" s="40">
        <v>91.286063604933133</v>
      </c>
      <c r="F17" s="40">
        <v>87.347272323578352</v>
      </c>
      <c r="G17" s="40">
        <v>80.924079504724673</v>
      </c>
      <c r="H17" s="40">
        <v>68.770987061595122</v>
      </c>
      <c r="I17" s="49">
        <v>53.587911660135468</v>
      </c>
      <c r="J17" s="66">
        <f t="shared" si="0"/>
        <v>227.24684887700877</v>
      </c>
      <c r="K17" s="66">
        <f t="shared" si="3"/>
        <v>-3.7531511229912269</v>
      </c>
      <c r="M17" s="27"/>
      <c r="N17" s="61" t="s">
        <v>11</v>
      </c>
      <c r="O17" s="40">
        <v>4.1122508316799324</v>
      </c>
      <c r="P17" s="40">
        <v>3.9130111858628869</v>
      </c>
      <c r="Q17" s="40">
        <v>4.1402320670424677</v>
      </c>
      <c r="R17" s="40">
        <v>4.9319868448576356</v>
      </c>
      <c r="S17" s="40">
        <v>5.4027181636296984</v>
      </c>
      <c r="T17" s="40">
        <v>7.5963973372628857</v>
      </c>
      <c r="U17" s="49">
        <v>8.757832692110993</v>
      </c>
      <c r="V17" s="66">
        <f t="shared" si="1"/>
        <v>21.211060242393408</v>
      </c>
    </row>
    <row r="18" spans="1:22" x14ac:dyDescent="0.2">
      <c r="A18" s="27"/>
      <c r="B18" s="61" t="s">
        <v>12</v>
      </c>
      <c r="C18" s="40">
        <v>92.90466180503293</v>
      </c>
      <c r="D18" s="40">
        <v>92.576285261983244</v>
      </c>
      <c r="E18" s="40">
        <v>92.469101520486021</v>
      </c>
      <c r="F18" s="40">
        <v>90.667136682266573</v>
      </c>
      <c r="G18" s="40">
        <v>86.385868389864967</v>
      </c>
      <c r="H18" s="40">
        <v>70.341681156411397</v>
      </c>
      <c r="I18" s="49">
        <v>54.346721569102392</v>
      </c>
      <c r="J18" s="66">
        <f t="shared" si="0"/>
        <v>234.6418239056278</v>
      </c>
      <c r="K18" s="66">
        <f t="shared" si="3"/>
        <v>3.6418239056278026</v>
      </c>
      <c r="M18" s="27"/>
      <c r="N18" s="61" t="s">
        <v>12</v>
      </c>
      <c r="O18" s="40">
        <v>3.576588513898638</v>
      </c>
      <c r="P18" s="40">
        <v>3.6384489067435961</v>
      </c>
      <c r="Q18" s="40">
        <v>3.4880286605455821</v>
      </c>
      <c r="R18" s="40">
        <v>3.9701665356541431</v>
      </c>
      <c r="S18" s="40">
        <v>5.5319131411834084</v>
      </c>
      <c r="T18" s="40">
        <v>7.9689437293106389</v>
      </c>
      <c r="U18" s="49">
        <v>7.6891218324711899</v>
      </c>
      <c r="V18" s="66">
        <f t="shared" si="1"/>
        <v>19.979493109182648</v>
      </c>
    </row>
    <row r="19" spans="1:22" ht="14.25" customHeight="1" thickBot="1" x14ac:dyDescent="0.25">
      <c r="A19" s="28"/>
      <c r="B19" s="62" t="s">
        <v>13</v>
      </c>
      <c r="C19" s="50">
        <v>92.532008639059754</v>
      </c>
      <c r="D19" s="50">
        <v>92.511359671508131</v>
      </c>
      <c r="E19" s="50">
        <v>92.431794392685063</v>
      </c>
      <c r="F19" s="50">
        <v>89.802189753659917</v>
      </c>
      <c r="G19" s="50">
        <v>84.27001963684809</v>
      </c>
      <c r="H19" s="50">
        <v>69.728111834877453</v>
      </c>
      <c r="I19" s="51">
        <v>54.61681617776393</v>
      </c>
      <c r="J19" s="66">
        <f t="shared" si="0"/>
        <v>232.59724131119933</v>
      </c>
      <c r="K19" s="66">
        <f t="shared" si="3"/>
        <v>1.5972413111993262</v>
      </c>
      <c r="M19" s="28"/>
      <c r="N19" s="62" t="s">
        <v>13</v>
      </c>
      <c r="O19" s="50">
        <v>3.8648153044722311</v>
      </c>
      <c r="P19" s="50">
        <v>3.535077470212221</v>
      </c>
      <c r="Q19" s="50">
        <v>3.6384347466350571</v>
      </c>
      <c r="R19" s="50">
        <v>3.8089521492813971</v>
      </c>
      <c r="S19" s="50">
        <v>5.4822989134189646</v>
      </c>
      <c r="T19" s="50">
        <v>8.2183912200903393</v>
      </c>
      <c r="U19" s="51">
        <v>7.7989831950532231</v>
      </c>
      <c r="V19" s="66">
        <f t="shared" si="1"/>
        <v>20.20108810809176</v>
      </c>
    </row>
    <row r="20" spans="1:22" ht="14.25" customHeight="1" thickBot="1" x14ac:dyDescent="0.25">
      <c r="A20" s="43" t="s">
        <v>14</v>
      </c>
      <c r="B20" s="65" t="s">
        <v>17</v>
      </c>
      <c r="C20" s="58">
        <v>93.365954722791713</v>
      </c>
      <c r="D20" s="50">
        <v>92.953929820615514</v>
      </c>
      <c r="E20" s="50">
        <v>92.363177882161622</v>
      </c>
      <c r="F20" s="50">
        <v>90.139831082737146</v>
      </c>
      <c r="G20" s="50">
        <v>85.704671609039309</v>
      </c>
      <c r="H20" s="50">
        <v>70.630570622006516</v>
      </c>
      <c r="I20" s="51">
        <v>51.370542421070539</v>
      </c>
      <c r="J20" s="66">
        <f t="shared" si="0"/>
        <v>231.49259888349667</v>
      </c>
      <c r="K20" s="66">
        <f t="shared" si="3"/>
        <v>0.4925988834966688</v>
      </c>
      <c r="M20" s="44" t="s">
        <v>14</v>
      </c>
      <c r="N20" s="63" t="s">
        <v>17</v>
      </c>
      <c r="O20" s="58">
        <v>3.6675181053903749</v>
      </c>
      <c r="P20" s="50">
        <v>3.953165926503563</v>
      </c>
      <c r="Q20" s="50">
        <v>4.1014418287709162</v>
      </c>
      <c r="R20" s="50">
        <v>4.4748820350339917</v>
      </c>
      <c r="S20" s="50">
        <v>5.9464430898845917</v>
      </c>
      <c r="T20" s="50">
        <v>9.9254293554512856</v>
      </c>
      <c r="U20" s="51">
        <v>9.3127481496540874</v>
      </c>
      <c r="V20" s="66">
        <f t="shared" si="1"/>
        <v>23.715202085270352</v>
      </c>
    </row>
    <row r="21" spans="1:22" ht="15" thickBot="1" x14ac:dyDescent="0.25">
      <c r="J21" s="66"/>
      <c r="K21" s="66"/>
      <c r="V21" s="66"/>
    </row>
    <row r="22" spans="1:22" ht="15" thickBot="1" x14ac:dyDescent="0.25">
      <c r="A22" s="44" t="s">
        <v>3</v>
      </c>
      <c r="B22" s="46" t="s">
        <v>0</v>
      </c>
      <c r="C22" s="45">
        <v>1</v>
      </c>
      <c r="D22" s="45">
        <v>0.75</v>
      </c>
      <c r="E22" s="45">
        <v>0.5</v>
      </c>
      <c r="F22" s="45">
        <v>0.3</v>
      </c>
      <c r="G22" s="45">
        <v>0.2</v>
      </c>
      <c r="H22" s="45">
        <v>0.1</v>
      </c>
      <c r="I22" s="46">
        <v>0.05</v>
      </c>
      <c r="J22" s="66" t="s">
        <v>22</v>
      </c>
      <c r="K22" s="66"/>
      <c r="M22" s="44" t="s">
        <v>5</v>
      </c>
      <c r="N22" s="46" t="s">
        <v>0</v>
      </c>
      <c r="O22" s="45">
        <v>1</v>
      </c>
      <c r="P22" s="45">
        <v>0.75</v>
      </c>
      <c r="Q22" s="45">
        <v>0.5</v>
      </c>
      <c r="R22" s="45">
        <v>0.3</v>
      </c>
      <c r="S22" s="45">
        <v>0.2</v>
      </c>
      <c r="T22" s="45">
        <v>0.1</v>
      </c>
      <c r="U22" s="46">
        <v>0.05</v>
      </c>
      <c r="V22" s="66" t="s">
        <v>22</v>
      </c>
    </row>
    <row r="23" spans="1:22" ht="15" thickBot="1" x14ac:dyDescent="0.25">
      <c r="A23" s="37" t="s">
        <v>1</v>
      </c>
      <c r="B23" s="38"/>
      <c r="C23" s="54">
        <v>92.567111769713335</v>
      </c>
      <c r="D23" s="54">
        <v>90.835858608343599</v>
      </c>
      <c r="E23" s="54">
        <v>89.217505339533233</v>
      </c>
      <c r="F23" s="54">
        <v>83.237245964288078</v>
      </c>
      <c r="G23" s="54">
        <v>75.380430844191011</v>
      </c>
      <c r="H23" s="54">
        <v>58.994367187597383</v>
      </c>
      <c r="I23" s="55">
        <v>43.622535641382179</v>
      </c>
      <c r="J23" s="66">
        <f t="shared" si="0"/>
        <v>204.1661195989895</v>
      </c>
      <c r="K23" s="66"/>
      <c r="M23" s="37" t="s">
        <v>1</v>
      </c>
      <c r="N23" s="38"/>
      <c r="O23" s="40">
        <v>3.88093621561358</v>
      </c>
      <c r="P23" s="40">
        <v>4.8164746829677396</v>
      </c>
      <c r="Q23" s="40">
        <v>5.2250608386616522</v>
      </c>
      <c r="R23" s="40">
        <v>5.6675721086724113</v>
      </c>
      <c r="S23" s="40">
        <v>8.3263283482936075</v>
      </c>
      <c r="T23" s="40">
        <v>10.49020927094638</v>
      </c>
      <c r="U23" s="49">
        <v>11.060437347759546</v>
      </c>
      <c r="V23" s="66">
        <f t="shared" si="1"/>
        <v>28.192369569327848</v>
      </c>
    </row>
    <row r="24" spans="1:22" ht="15" thickBot="1" x14ac:dyDescent="0.25">
      <c r="A24" s="29" t="s">
        <v>20</v>
      </c>
      <c r="B24" s="30"/>
      <c r="C24" s="30"/>
      <c r="D24" s="30"/>
      <c r="E24" s="30"/>
      <c r="F24" s="30"/>
      <c r="G24" s="30"/>
      <c r="H24" s="30"/>
      <c r="I24" s="31"/>
      <c r="J24" s="66"/>
      <c r="K24" s="66"/>
      <c r="M24" s="29" t="s">
        <v>20</v>
      </c>
      <c r="N24" s="30"/>
      <c r="O24" s="30"/>
      <c r="P24" s="30"/>
      <c r="Q24" s="30"/>
      <c r="R24" s="30"/>
      <c r="S24" s="30"/>
      <c r="T24" s="30"/>
      <c r="U24" s="31"/>
      <c r="V24" s="66"/>
    </row>
    <row r="25" spans="1:22" x14ac:dyDescent="0.2">
      <c r="A25" s="26" t="s">
        <v>6</v>
      </c>
      <c r="B25" s="47" t="s">
        <v>7</v>
      </c>
      <c r="C25" s="56">
        <v>92.820738792005557</v>
      </c>
      <c r="D25" s="52">
        <v>91.960076103634933</v>
      </c>
      <c r="E25" s="52">
        <v>90.623611228667414</v>
      </c>
      <c r="F25" s="52">
        <v>87.147401908523506</v>
      </c>
      <c r="G25" s="52">
        <v>80.684883446065982</v>
      </c>
      <c r="H25" s="52">
        <v>60.433547736945336</v>
      </c>
      <c r="I25" s="53">
        <v>47.513519633648883</v>
      </c>
      <c r="J25" s="66">
        <f t="shared" si="0"/>
        <v>214.57608504059661</v>
      </c>
      <c r="K25" s="66"/>
      <c r="M25" s="29" t="s">
        <v>7</v>
      </c>
      <c r="N25" s="31"/>
      <c r="O25" s="56">
        <v>3.9832785287226642</v>
      </c>
      <c r="P25" s="52">
        <v>4.384481875563857</v>
      </c>
      <c r="Q25" s="52">
        <v>4.3933682019589702</v>
      </c>
      <c r="R25" s="52">
        <v>5.7258360206959802</v>
      </c>
      <c r="S25" s="52">
        <v>7.9571441032328494</v>
      </c>
      <c r="T25" s="52">
        <v>11.156546553337531</v>
      </c>
      <c r="U25" s="53">
        <v>9.8131707087901248</v>
      </c>
      <c r="V25" s="66">
        <f t="shared" si="1"/>
        <v>27.163793316809027</v>
      </c>
    </row>
    <row r="26" spans="1:22" x14ac:dyDescent="0.2">
      <c r="A26" s="27"/>
      <c r="B26" s="41" t="s">
        <v>8</v>
      </c>
      <c r="C26" s="57">
        <v>92.843284190023084</v>
      </c>
      <c r="D26" s="40">
        <v>91.856981164968985</v>
      </c>
      <c r="E26" s="40">
        <v>90.615255157299202</v>
      </c>
      <c r="F26" s="40">
        <v>87.929534075502005</v>
      </c>
      <c r="G26" s="40">
        <v>80.29266389685057</v>
      </c>
      <c r="H26" s="40">
        <v>61.564100332848938</v>
      </c>
      <c r="I26" s="49">
        <v>44.246012410890316</v>
      </c>
      <c r="J26" s="66">
        <f t="shared" si="0"/>
        <v>212.66659917355187</v>
      </c>
      <c r="K26" s="66"/>
      <c r="M26" s="32" t="s">
        <v>8</v>
      </c>
      <c r="N26" s="33"/>
      <c r="O26" s="57">
        <v>4.2026089477592938</v>
      </c>
      <c r="P26" s="40">
        <v>4.7417739073745873</v>
      </c>
      <c r="Q26" s="40">
        <v>4.6885884019912742</v>
      </c>
      <c r="R26" s="40">
        <v>5.8474095435593307</v>
      </c>
      <c r="S26" s="40">
        <v>8.5718488634529457</v>
      </c>
      <c r="T26" s="40">
        <v>10.618665895845737</v>
      </c>
      <c r="U26" s="49">
        <v>9.9175631887140572</v>
      </c>
      <c r="V26" s="66">
        <f t="shared" si="1"/>
        <v>27.371442072112174</v>
      </c>
    </row>
    <row r="27" spans="1:22" x14ac:dyDescent="0.2">
      <c r="A27" s="27"/>
      <c r="B27" s="41" t="s">
        <v>9</v>
      </c>
      <c r="C27" s="57">
        <v>92.887247493957162</v>
      </c>
      <c r="D27" s="40">
        <v>92.526360568571377</v>
      </c>
      <c r="E27" s="40">
        <v>92.335985990442964</v>
      </c>
      <c r="F27" s="40">
        <v>91.21192788290432</v>
      </c>
      <c r="G27" s="40">
        <v>84.049989944177668</v>
      </c>
      <c r="H27" s="40">
        <v>57.414776662034065</v>
      </c>
      <c r="I27" s="49">
        <v>42.573458490480562</v>
      </c>
      <c r="J27" s="66">
        <f t="shared" si="0"/>
        <v>212.2812476439496</v>
      </c>
      <c r="K27" s="66"/>
      <c r="M27" s="32" t="s">
        <v>9</v>
      </c>
      <c r="N27" s="33"/>
      <c r="O27" s="57">
        <v>4.0514903154179436</v>
      </c>
      <c r="P27" s="40">
        <v>3.9219831925012953</v>
      </c>
      <c r="Q27" s="40">
        <v>4.2608980592918222</v>
      </c>
      <c r="R27" s="40">
        <v>4.507750995529622</v>
      </c>
      <c r="S27" s="40">
        <v>6.950345110192127</v>
      </c>
      <c r="T27" s="40">
        <v>10.916767692216204</v>
      </c>
      <c r="U27" s="49">
        <v>8.7851414024966488</v>
      </c>
      <c r="V27" s="66">
        <f t="shared" si="1"/>
        <v>24.738539269135117</v>
      </c>
    </row>
    <row r="28" spans="1:22" x14ac:dyDescent="0.2">
      <c r="A28" s="27"/>
      <c r="B28" s="41" t="s">
        <v>10</v>
      </c>
      <c r="C28" s="57">
        <v>92.843190256650004</v>
      </c>
      <c r="D28" s="40">
        <v>92.587016305792119</v>
      </c>
      <c r="E28" s="40">
        <v>92.099608766333958</v>
      </c>
      <c r="F28" s="40">
        <v>90.524299230603347</v>
      </c>
      <c r="G28" s="40">
        <v>83.646426779948698</v>
      </c>
      <c r="H28" s="40">
        <v>60.416105838288168</v>
      </c>
      <c r="I28" s="49">
        <v>43.187380938017625</v>
      </c>
      <c r="J28" s="66">
        <f t="shared" si="0"/>
        <v>214.61586749843264</v>
      </c>
      <c r="K28" s="66"/>
      <c r="M28" s="32" t="s">
        <v>10</v>
      </c>
      <c r="N28" s="33"/>
      <c r="O28" s="57">
        <v>3.6611286672079411</v>
      </c>
      <c r="P28" s="40">
        <v>3.8332247685167258</v>
      </c>
      <c r="Q28" s="40">
        <v>4.0987820655435705</v>
      </c>
      <c r="R28" s="40">
        <v>4.7008877850217017</v>
      </c>
      <c r="S28" s="40">
        <v>7.5205052811091608</v>
      </c>
      <c r="T28" s="40">
        <v>10.841519627091911</v>
      </c>
      <c r="U28" s="49">
        <v>7.8755871698222206</v>
      </c>
      <c r="V28" s="66">
        <f t="shared" si="1"/>
        <v>24.270178777697687</v>
      </c>
    </row>
    <row r="29" spans="1:22" x14ac:dyDescent="0.2">
      <c r="A29" s="27"/>
      <c r="B29" s="41" t="s">
        <v>11</v>
      </c>
      <c r="C29" s="57">
        <v>93.155419737732046</v>
      </c>
      <c r="D29" s="40">
        <v>92.891252101569421</v>
      </c>
      <c r="E29" s="40">
        <v>92.354820431535103</v>
      </c>
      <c r="F29" s="40">
        <v>89.262237664911709</v>
      </c>
      <c r="G29" s="40">
        <v>83.817415142302622</v>
      </c>
      <c r="H29" s="40">
        <v>62.583030132951436</v>
      </c>
      <c r="I29" s="49">
        <v>45.947582471767348</v>
      </c>
      <c r="J29" s="66">
        <f t="shared" si="0"/>
        <v>218.435998099573</v>
      </c>
      <c r="K29" s="66"/>
      <c r="M29" s="32" t="s">
        <v>11</v>
      </c>
      <c r="N29" s="33"/>
      <c r="O29" s="57">
        <v>3.8707101747526216</v>
      </c>
      <c r="P29" s="40">
        <v>4.3079284051136435</v>
      </c>
      <c r="Q29" s="40">
        <v>4.4205356766114763</v>
      </c>
      <c r="R29" s="40">
        <v>5.3097950223237715</v>
      </c>
      <c r="S29" s="40">
        <v>6.7759657284130972</v>
      </c>
      <c r="T29" s="40">
        <v>11.798403704025185</v>
      </c>
      <c r="U29" s="49">
        <v>11.537198624213495</v>
      </c>
      <c r="V29" s="66">
        <f t="shared" si="1"/>
        <v>28.281825830208582</v>
      </c>
    </row>
    <row r="30" spans="1:22" x14ac:dyDescent="0.2">
      <c r="A30" s="27"/>
      <c r="B30" s="41" t="s">
        <v>12</v>
      </c>
      <c r="C30" s="57">
        <v>92.821279056315362</v>
      </c>
      <c r="D30" s="40">
        <v>92.733480621303571</v>
      </c>
      <c r="E30" s="40">
        <v>92.203500219400965</v>
      </c>
      <c r="F30" s="40">
        <v>91.071302925601856</v>
      </c>
      <c r="G30" s="40">
        <v>85.612815475594061</v>
      </c>
      <c r="H30" s="40">
        <v>58.992680230672832</v>
      </c>
      <c r="I30" s="49">
        <v>41.120411442431482</v>
      </c>
      <c r="J30" s="66">
        <f t="shared" si="0"/>
        <v>213.15910024524624</v>
      </c>
      <c r="K30" s="66"/>
      <c r="M30" s="32" t="s">
        <v>12</v>
      </c>
      <c r="N30" s="33"/>
      <c r="O30" s="57">
        <v>3.654167143417371</v>
      </c>
      <c r="P30" s="40">
        <v>3.872585567952481</v>
      </c>
      <c r="Q30" s="40">
        <v>4.0466276106990549</v>
      </c>
      <c r="R30" s="40">
        <v>4.8526676778723434</v>
      </c>
      <c r="S30" s="40">
        <v>6.1913517121362496</v>
      </c>
      <c r="T30" s="40">
        <v>10.091912686159521</v>
      </c>
      <c r="U30" s="49">
        <v>8.6002766636911474</v>
      </c>
      <c r="V30" s="66">
        <f t="shared" si="1"/>
        <v>23.530164723366916</v>
      </c>
    </row>
    <row r="31" spans="1:22" ht="15" thickBot="1" x14ac:dyDescent="0.25">
      <c r="A31" s="28"/>
      <c r="B31" s="43" t="s">
        <v>13</v>
      </c>
      <c r="C31" s="58">
        <v>93.243833233650619</v>
      </c>
      <c r="D31" s="50">
        <v>92.244152662300351</v>
      </c>
      <c r="E31" s="50">
        <v>91.779399224683033</v>
      </c>
      <c r="F31" s="50">
        <v>88.942376530063612</v>
      </c>
      <c r="G31" s="50">
        <v>84.074415427072154</v>
      </c>
      <c r="H31" s="50">
        <v>63.593677785045287</v>
      </c>
      <c r="I31" s="51">
        <v>48.08806242697684</v>
      </c>
      <c r="J31" s="66">
        <f t="shared" si="0"/>
        <v>221.00985506685515</v>
      </c>
      <c r="K31" s="66"/>
      <c r="M31" s="37" t="s">
        <v>13</v>
      </c>
      <c r="N31" s="38"/>
      <c r="O31" s="58">
        <v>3.8779021026816878</v>
      </c>
      <c r="P31" s="50">
        <v>5.459933038676585</v>
      </c>
      <c r="Q31" s="50">
        <v>4.314698164495594</v>
      </c>
      <c r="R31" s="50">
        <v>5.2914242658912007</v>
      </c>
      <c r="S31" s="50">
        <v>7.0686449776166889</v>
      </c>
      <c r="T31" s="50">
        <v>12.320009696250258</v>
      </c>
      <c r="U31" s="51">
        <v>10.2959016132948</v>
      </c>
      <c r="V31" s="66">
        <f t="shared" si="1"/>
        <v>27.807910091963823</v>
      </c>
    </row>
    <row r="32" spans="1:22" ht="15" thickBot="1" x14ac:dyDescent="0.25">
      <c r="A32" s="44" t="s">
        <v>14</v>
      </c>
      <c r="B32" s="64" t="s">
        <v>15</v>
      </c>
      <c r="C32" s="56">
        <v>92.642127236498098</v>
      </c>
      <c r="D32" s="52">
        <v>91.04461239289904</v>
      </c>
      <c r="E32" s="52">
        <v>89.434796049812732</v>
      </c>
      <c r="F32" s="52">
        <v>85.354372724147197</v>
      </c>
      <c r="G32" s="52">
        <v>80.030044950169284</v>
      </c>
      <c r="H32" s="52">
        <v>63.507304479546157</v>
      </c>
      <c r="I32" s="53">
        <v>44.95687425047484</v>
      </c>
      <c r="J32" s="66">
        <f t="shared" si="0"/>
        <v>213.10635432943576</v>
      </c>
      <c r="K32" s="66"/>
      <c r="M32" s="44" t="s">
        <v>14</v>
      </c>
      <c r="N32" s="64" t="s">
        <v>15</v>
      </c>
      <c r="O32" s="56">
        <v>4.1195158215033718</v>
      </c>
      <c r="P32" s="52">
        <v>4.4343471318077929</v>
      </c>
      <c r="Q32" s="52">
        <v>5.7830468704553457</v>
      </c>
      <c r="R32" s="52">
        <v>5.0998556431996933</v>
      </c>
      <c r="S32" s="52">
        <v>6.7676736054577464</v>
      </c>
      <c r="T32" s="52">
        <v>9.7329969682947457</v>
      </c>
      <c r="U32" s="53">
        <v>10.28042620138169</v>
      </c>
      <c r="V32" s="66">
        <f t="shared" si="1"/>
        <v>25.714960977078352</v>
      </c>
    </row>
    <row r="33" spans="1:22" ht="14.25" customHeight="1" thickBot="1" x14ac:dyDescent="0.25">
      <c r="A33" s="34" t="s">
        <v>16</v>
      </c>
      <c r="B33" s="35"/>
      <c r="C33" s="35"/>
      <c r="D33" s="35"/>
      <c r="E33" s="35"/>
      <c r="F33" s="35"/>
      <c r="G33" s="35"/>
      <c r="H33" s="35"/>
      <c r="I33" s="36"/>
      <c r="J33" s="66"/>
      <c r="K33" s="66"/>
      <c r="M33" s="34" t="s">
        <v>16</v>
      </c>
      <c r="N33" s="35"/>
      <c r="O33" s="35"/>
      <c r="P33" s="35"/>
      <c r="Q33" s="35"/>
      <c r="R33" s="35"/>
      <c r="S33" s="35"/>
      <c r="T33" s="35"/>
      <c r="U33" s="36"/>
      <c r="V33" s="66"/>
    </row>
    <row r="34" spans="1:22" ht="14.25" customHeight="1" x14ac:dyDescent="0.2">
      <c r="A34" s="26" t="s">
        <v>6</v>
      </c>
      <c r="B34" s="47" t="s">
        <v>7</v>
      </c>
      <c r="C34" s="56">
        <v>92.247186116496749</v>
      </c>
      <c r="D34" s="52">
        <v>91.597884605320203</v>
      </c>
      <c r="E34" s="52">
        <v>91.511680603905845</v>
      </c>
      <c r="F34" s="52">
        <v>89.06343871798687</v>
      </c>
      <c r="G34" s="52">
        <v>81.057166591460046</v>
      </c>
      <c r="H34" s="52">
        <v>62.491303085185713</v>
      </c>
      <c r="I34" s="53">
        <v>45.016086288904575</v>
      </c>
      <c r="J34" s="66">
        <f t="shared" ref="J34:J41" si="4">C34*(1-1)^2+D34*(1-0.75)^2+E34*(1-0.5)^2+F34*(1-0.3)^2+G34*(1-0.2)^2+H34*(1-0.1)^2+I34*(1-0.05)^2</f>
        <v>215.3654329038938</v>
      </c>
      <c r="K34" s="66"/>
      <c r="M34" s="26" t="s">
        <v>6</v>
      </c>
      <c r="N34" s="47" t="s">
        <v>7</v>
      </c>
      <c r="O34" s="56">
        <v>3.9865771746241632</v>
      </c>
      <c r="P34" s="52">
        <v>4.5536660342110613</v>
      </c>
      <c r="Q34" s="52">
        <v>4.2864648182838208</v>
      </c>
      <c r="R34" s="52">
        <v>4.8749175943812801</v>
      </c>
      <c r="S34" s="52">
        <v>6.6195690033276033</v>
      </c>
      <c r="T34" s="52">
        <v>9.9975260632023684</v>
      </c>
      <c r="U34" s="53">
        <v>8.9088892578240788</v>
      </c>
      <c r="V34" s="66">
        <f t="shared" ref="V34:V41" si="5">O34*(1-1)^2+P34*(1-0.75)^2+Q34*(1-0.5)^2+R34*(1-0.3)^2+S34*(1-0.2)^2+T34*(1-0.1)^2+U34*(1-0.05)^2</f>
        <v>24.119722781465789</v>
      </c>
    </row>
    <row r="35" spans="1:22" ht="14.25" customHeight="1" x14ac:dyDescent="0.2">
      <c r="A35" s="27"/>
      <c r="B35" s="41" t="s">
        <v>8</v>
      </c>
      <c r="C35" s="57">
        <v>92.563160936089858</v>
      </c>
      <c r="D35" s="40">
        <v>91.671343853121428</v>
      </c>
      <c r="E35" s="40">
        <v>90.948470471508386</v>
      </c>
      <c r="F35" s="40">
        <v>87.250446788778675</v>
      </c>
      <c r="G35" s="40">
        <v>80.245135880766256</v>
      </c>
      <c r="H35" s="40">
        <v>67.618957114876295</v>
      </c>
      <c r="I35" s="49">
        <v>48.661256270952556</v>
      </c>
      <c r="J35" s="66">
        <f t="shared" si="4"/>
        <v>221.26432154647364</v>
      </c>
      <c r="K35" s="66"/>
      <c r="M35" s="27"/>
      <c r="N35" s="41" t="s">
        <v>8</v>
      </c>
      <c r="O35" s="57">
        <v>4.1570380941436529</v>
      </c>
      <c r="P35" s="40">
        <v>4.4322456207651824</v>
      </c>
      <c r="Q35" s="40">
        <v>4.2573142592404345</v>
      </c>
      <c r="R35" s="40">
        <v>4.9623460503589669</v>
      </c>
      <c r="S35" s="40">
        <v>6.4761990460733738</v>
      </c>
      <c r="T35" s="40">
        <v>8.2894024682649388</v>
      </c>
      <c r="U35" s="49">
        <v>10.578972903017011</v>
      </c>
      <c r="V35" s="66">
        <f t="shared" si="5"/>
        <v>24.179599914538237</v>
      </c>
    </row>
    <row r="36" spans="1:22" ht="14.25" customHeight="1" x14ac:dyDescent="0.2">
      <c r="A36" s="27"/>
      <c r="B36" s="41" t="s">
        <v>9</v>
      </c>
      <c r="C36" s="57">
        <v>92.54556139569759</v>
      </c>
      <c r="D36" s="40">
        <v>92.097749123542997</v>
      </c>
      <c r="E36" s="40">
        <v>91.149446409986609</v>
      </c>
      <c r="F36" s="40">
        <v>90.378692861325263</v>
      </c>
      <c r="G36" s="40">
        <v>86.31037090347165</v>
      </c>
      <c r="H36" s="40">
        <v>69.052071672901974</v>
      </c>
      <c r="I36" s="49">
        <v>52.183039312657961</v>
      </c>
      <c r="J36" s="66">
        <f t="shared" si="4"/>
        <v>231.09503883771373</v>
      </c>
      <c r="K36" s="66"/>
      <c r="M36" s="27"/>
      <c r="N36" s="41" t="s">
        <v>9</v>
      </c>
      <c r="O36" s="57">
        <v>3.8704157166302662</v>
      </c>
      <c r="P36" s="40">
        <v>4.0030091744950544</v>
      </c>
      <c r="Q36" s="40">
        <v>4.4384106113763231</v>
      </c>
      <c r="R36" s="40">
        <v>3.896528380448768</v>
      </c>
      <c r="S36" s="40">
        <v>5.8710282292811753</v>
      </c>
      <c r="T36" s="40">
        <v>8.8278448465735444</v>
      </c>
      <c r="U36" s="49">
        <v>8.7581295305693558</v>
      </c>
      <c r="V36" s="66">
        <f t="shared" si="5"/>
        <v>22.081313926473285</v>
      </c>
    </row>
    <row r="37" spans="1:22" ht="14.25" customHeight="1" x14ac:dyDescent="0.2">
      <c r="A37" s="27"/>
      <c r="B37" s="41" t="s">
        <v>10</v>
      </c>
      <c r="C37" s="57">
        <v>91.108963215218992</v>
      </c>
      <c r="D37" s="40">
        <v>91.422451190382446</v>
      </c>
      <c r="E37" s="40">
        <v>91.028164807377692</v>
      </c>
      <c r="F37" s="40">
        <v>90.92155498404928</v>
      </c>
      <c r="G37" s="40">
        <v>88.366911725212944</v>
      </c>
      <c r="H37" s="40">
        <v>69.467496738004868</v>
      </c>
      <c r="I37" s="49">
        <v>55.017151338023098</v>
      </c>
      <c r="J37" s="66">
        <f t="shared" si="4"/>
        <v>235.49898128791355</v>
      </c>
      <c r="K37" s="66"/>
      <c r="M37" s="27"/>
      <c r="N37" s="41" t="s">
        <v>10</v>
      </c>
      <c r="O37" s="57">
        <v>4.5721711205283091</v>
      </c>
      <c r="P37" s="40">
        <v>4.2450282469621561</v>
      </c>
      <c r="Q37" s="40">
        <v>4.9010444377823665</v>
      </c>
      <c r="R37" s="40">
        <v>4.7536885250114933</v>
      </c>
      <c r="S37" s="40">
        <v>5.7319162671252464</v>
      </c>
      <c r="T37" s="40">
        <v>8.5643761177203679</v>
      </c>
      <c r="U37" s="49">
        <v>13.3397749958867</v>
      </c>
      <c r="V37" s="66">
        <f t="shared" si="5"/>
        <v>26.464600752237761</v>
      </c>
    </row>
    <row r="38" spans="1:22" ht="14.25" customHeight="1" x14ac:dyDescent="0.2">
      <c r="A38" s="27"/>
      <c r="B38" s="41" t="s">
        <v>11</v>
      </c>
      <c r="C38" s="57">
        <v>91.985002113747967</v>
      </c>
      <c r="D38" s="40">
        <v>91.844115733099713</v>
      </c>
      <c r="E38" s="40">
        <v>90.74276089064449</v>
      </c>
      <c r="F38" s="40">
        <v>86.637468540622294</v>
      </c>
      <c r="G38" s="40">
        <v>80.087169822335198</v>
      </c>
      <c r="H38" s="40">
        <v>67.923665484357144</v>
      </c>
      <c r="I38" s="49">
        <v>50.478936197751509</v>
      </c>
      <c r="J38" s="66">
        <f t="shared" si="4"/>
        <v>222.70950468797935</v>
      </c>
      <c r="K38" s="66"/>
      <c r="M38" s="27"/>
      <c r="N38" s="41" t="s">
        <v>11</v>
      </c>
      <c r="O38" s="57">
        <v>4.584242690959452</v>
      </c>
      <c r="P38" s="40">
        <v>4.2746031503783293</v>
      </c>
      <c r="Q38" s="40">
        <v>4.5095381636640219</v>
      </c>
      <c r="R38" s="40">
        <v>5.3683537882268819</v>
      </c>
      <c r="S38" s="40">
        <v>5.8185190400296554</v>
      </c>
      <c r="T38" s="40">
        <v>8.023787622820107</v>
      </c>
      <c r="U38" s="49">
        <v>9.5152827629812951</v>
      </c>
      <c r="V38" s="66">
        <f t="shared" si="5"/>
        <v>22.835703447739711</v>
      </c>
    </row>
    <row r="39" spans="1:22" ht="14.25" customHeight="1" x14ac:dyDescent="0.2">
      <c r="A39" s="27"/>
      <c r="B39" s="41" t="s">
        <v>12</v>
      </c>
      <c r="C39" s="57">
        <v>92.468180366104363</v>
      </c>
      <c r="D39" s="40">
        <v>92.104677053061693</v>
      </c>
      <c r="E39" s="40">
        <v>91.973737069414582</v>
      </c>
      <c r="F39" s="40">
        <v>90.231180372644104</v>
      </c>
      <c r="G39" s="40">
        <v>85.680389069387402</v>
      </c>
      <c r="H39" s="40">
        <v>69.611797784660126</v>
      </c>
      <c r="I39" s="49">
        <v>51.75655561645415</v>
      </c>
      <c r="J39" s="66">
        <f t="shared" si="4"/>
        <v>230.89455161959813</v>
      </c>
      <c r="K39" s="66"/>
      <c r="M39" s="27"/>
      <c r="N39" s="41" t="s">
        <v>12</v>
      </c>
      <c r="O39" s="57">
        <v>3.9609796946315146</v>
      </c>
      <c r="P39" s="40">
        <v>4.0190161872002168</v>
      </c>
      <c r="Q39" s="40">
        <v>3.83425635153686</v>
      </c>
      <c r="R39" s="40">
        <v>4.2952439764306201</v>
      </c>
      <c r="S39" s="40">
        <v>6.136495380553578</v>
      </c>
      <c r="T39" s="40">
        <v>8.317066252642471</v>
      </c>
      <c r="U39" s="49">
        <v>8.3992244772803879</v>
      </c>
      <c r="V39" s="66">
        <f t="shared" si="5"/>
        <v>21.558902946975472</v>
      </c>
    </row>
    <row r="40" spans="1:22" ht="14.25" customHeight="1" thickBot="1" x14ac:dyDescent="0.25">
      <c r="A40" s="28"/>
      <c r="B40" s="43" t="s">
        <v>13</v>
      </c>
      <c r="C40" s="58">
        <v>92.006101323789679</v>
      </c>
      <c r="D40" s="50">
        <v>92.057603652163365</v>
      </c>
      <c r="E40" s="50">
        <v>92.049664666397604</v>
      </c>
      <c r="F40" s="50">
        <v>89.263858115450276</v>
      </c>
      <c r="G40" s="50">
        <v>83.628927365360866</v>
      </c>
      <c r="H40" s="50">
        <v>68.726628807646634</v>
      </c>
      <c r="I40" s="51">
        <v>52.239671459303928</v>
      </c>
      <c r="J40" s="66">
        <f t="shared" si="4"/>
        <v>228.84269321147679</v>
      </c>
      <c r="K40" s="66"/>
      <c r="M40" s="28"/>
      <c r="N40" s="43" t="s">
        <v>13</v>
      </c>
      <c r="O40" s="58">
        <v>4.2420719970357412</v>
      </c>
      <c r="P40" s="50">
        <v>3.8504360503285158</v>
      </c>
      <c r="Q40" s="50">
        <v>3.9845265645291157</v>
      </c>
      <c r="R40" s="50">
        <v>4.1886516625012451</v>
      </c>
      <c r="S40" s="50">
        <v>5.801232311545804</v>
      </c>
      <c r="T40" s="50">
        <v>8.6400942521937498</v>
      </c>
      <c r="U40" s="51">
        <v>8.5732627645881596</v>
      </c>
      <c r="V40" s="66">
        <f t="shared" si="5"/>
        <v>21.737857877610487</v>
      </c>
    </row>
    <row r="41" spans="1:22" ht="15" thickBot="1" x14ac:dyDescent="0.25">
      <c r="A41" s="44" t="s">
        <v>14</v>
      </c>
      <c r="B41" s="63" t="s">
        <v>17</v>
      </c>
      <c r="C41" s="58">
        <v>92.975071912418201</v>
      </c>
      <c r="D41" s="50">
        <v>92.482655480114417</v>
      </c>
      <c r="E41" s="50">
        <v>91.947118259611926</v>
      </c>
      <c r="F41" s="50">
        <v>89.588706846116352</v>
      </c>
      <c r="G41" s="50">
        <v>85.165438929554142</v>
      </c>
      <c r="H41" s="50">
        <v>69.625673799562222</v>
      </c>
      <c r="I41" s="51">
        <v>45.575943710882733</v>
      </c>
      <c r="J41" s="66">
        <f t="shared" si="4"/>
        <v>224.70037777863885</v>
      </c>
      <c r="K41" s="66"/>
      <c r="M41" s="44" t="s">
        <v>14</v>
      </c>
      <c r="N41" s="63" t="s">
        <v>17</v>
      </c>
      <c r="O41" s="58">
        <v>4.0214791322193637</v>
      </c>
      <c r="P41" s="50">
        <v>4.3522992567212775</v>
      </c>
      <c r="Q41" s="50">
        <v>4.4820499145717267</v>
      </c>
      <c r="R41" s="50">
        <v>4.8870823953070817</v>
      </c>
      <c r="S41" s="50">
        <v>6.2067997320749191</v>
      </c>
      <c r="T41" s="50">
        <v>10.534977026910749</v>
      </c>
      <c r="U41" s="51">
        <v>11.21955342401594</v>
      </c>
      <c r="V41" s="66">
        <f t="shared" si="5"/>
        <v>26.418531741388524</v>
      </c>
    </row>
  </sheetData>
  <mergeCells count="32">
    <mergeCell ref="A33:I33"/>
    <mergeCell ref="M33:U33"/>
    <mergeCell ref="A34:A40"/>
    <mergeCell ref="M34:M40"/>
    <mergeCell ref="A24:I24"/>
    <mergeCell ref="M24:U24"/>
    <mergeCell ref="A25:A31"/>
    <mergeCell ref="M25:N25"/>
    <mergeCell ref="M26:N26"/>
    <mergeCell ref="M27:N27"/>
    <mergeCell ref="M28:N28"/>
    <mergeCell ref="M29:N29"/>
    <mergeCell ref="M30:N30"/>
    <mergeCell ref="M31:N31"/>
    <mergeCell ref="A12:I12"/>
    <mergeCell ref="M12:U12"/>
    <mergeCell ref="A13:A19"/>
    <mergeCell ref="M13:M19"/>
    <mergeCell ref="A23:B23"/>
    <mergeCell ref="M23:N23"/>
    <mergeCell ref="M9:N9"/>
    <mergeCell ref="M10:N10"/>
    <mergeCell ref="A2:B2"/>
    <mergeCell ref="M2:N2"/>
    <mergeCell ref="A3:I3"/>
    <mergeCell ref="M3:U3"/>
    <mergeCell ref="A4:A10"/>
    <mergeCell ref="M4:N4"/>
    <mergeCell ref="M5:N5"/>
    <mergeCell ref="M6:N6"/>
    <mergeCell ref="M7:N7"/>
    <mergeCell ref="M8:N8"/>
  </mergeCells>
  <phoneticPr fontId="1" type="noConversion"/>
  <conditionalFormatting sqref="C13:I20 C2:I2 C11:I11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1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1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9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I20 C2:I2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I20 C2:I2 C11:I11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0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41 K2:K21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5709-9291-4D65-8370-794D2558CA06}">
  <dimension ref="A1:U86"/>
  <sheetViews>
    <sheetView tabSelected="1" zoomScaleNormal="100" workbookViewId="0">
      <selection activeCell="B10" sqref="B10"/>
    </sheetView>
  </sheetViews>
  <sheetFormatPr defaultRowHeight="14.25" x14ac:dyDescent="0.2"/>
  <cols>
    <col min="1" max="2" width="15" customWidth="1"/>
    <col min="10" max="10" width="9" style="40"/>
    <col min="12" max="13" width="15" customWidth="1"/>
    <col min="21" max="21" width="9" style="40"/>
  </cols>
  <sheetData>
    <row r="1" spans="1:21" ht="15" thickBot="1" x14ac:dyDescent="0.25">
      <c r="A1" s="4" t="s">
        <v>2</v>
      </c>
      <c r="B1" s="6" t="s">
        <v>0</v>
      </c>
      <c r="C1" s="5">
        <v>1</v>
      </c>
      <c r="D1" s="5">
        <v>0.75</v>
      </c>
      <c r="E1" s="5">
        <v>0.5</v>
      </c>
      <c r="F1" s="5">
        <v>0.3</v>
      </c>
      <c r="G1" s="5">
        <v>0.2</v>
      </c>
      <c r="H1" s="5">
        <v>0.1</v>
      </c>
      <c r="I1" s="6">
        <v>0.05</v>
      </c>
      <c r="J1" s="66" t="s">
        <v>22</v>
      </c>
      <c r="L1" s="4" t="s">
        <v>4</v>
      </c>
      <c r="M1" s="6" t="s">
        <v>0</v>
      </c>
      <c r="N1" s="4">
        <v>1</v>
      </c>
      <c r="O1" s="5">
        <v>0.75</v>
      </c>
      <c r="P1" s="5">
        <v>0.5</v>
      </c>
      <c r="Q1" s="5">
        <v>0.3</v>
      </c>
      <c r="R1" s="5">
        <v>0.2</v>
      </c>
      <c r="S1" s="5">
        <v>0.1</v>
      </c>
      <c r="T1" s="6">
        <v>0.05</v>
      </c>
      <c r="U1" s="66" t="s">
        <v>22</v>
      </c>
    </row>
    <row r="2" spans="1:21" ht="15" thickBot="1" x14ac:dyDescent="0.25">
      <c r="A2" s="37" t="s">
        <v>1</v>
      </c>
      <c r="B2" s="38"/>
      <c r="C2" s="8">
        <v>93.101364775358491</v>
      </c>
      <c r="D2" s="8">
        <v>91.326663725464783</v>
      </c>
      <c r="E2" s="8">
        <v>89.722561037148537</v>
      </c>
      <c r="F2" s="8">
        <v>83.857204647099024</v>
      </c>
      <c r="G2" s="8">
        <v>76.242949045118635</v>
      </c>
      <c r="H2" s="8">
        <v>60.40277741733636</v>
      </c>
      <c r="I2" s="2">
        <v>47.740900296138662</v>
      </c>
      <c r="J2" s="66">
        <f>C2*(1-1)^2+D2*(1-0.75)^2+E2*(1-0.5)^2+F2*(1-0.3)^2+G2*(1-0.2)^2+H2*(1-0.1)^2+I2*(1-0.05)^2</f>
        <v>210.03648663339072</v>
      </c>
      <c r="L2" s="37" t="s">
        <v>1</v>
      </c>
      <c r="M2" s="38"/>
      <c r="N2">
        <v>3.4649270444699574</v>
      </c>
      <c r="O2">
        <v>4.4611797621615326</v>
      </c>
      <c r="P2">
        <v>4.7712065248821434</v>
      </c>
      <c r="Q2">
        <v>5.3965689103010375</v>
      </c>
      <c r="R2">
        <v>7.9323757260741923</v>
      </c>
      <c r="S2">
        <v>9.9900413492801565</v>
      </c>
      <c r="T2" s="9">
        <v>9.7565309936118432</v>
      </c>
      <c r="U2" s="66">
        <f>N2*(1-1)^2+O2*(1-0.75)^2+P2*(1-0.5)^2+Q2*(1-0.3)^2+R2*(1-0.2)^2+S2*(1-0.1)^2+T2*(1-0.05)^2</f>
        <v>26.089867311742239</v>
      </c>
    </row>
    <row r="3" spans="1:21" ht="15" thickBot="1" x14ac:dyDescent="0.25">
      <c r="A3" s="29" t="s">
        <v>20</v>
      </c>
      <c r="B3" s="30"/>
      <c r="C3" s="30"/>
      <c r="D3" s="30"/>
      <c r="E3" s="30"/>
      <c r="F3" s="30"/>
      <c r="G3" s="30"/>
      <c r="H3" s="30"/>
      <c r="I3" s="31"/>
      <c r="J3" s="66"/>
      <c r="L3" s="29" t="s">
        <v>20</v>
      </c>
      <c r="M3" s="30"/>
      <c r="N3" s="30"/>
      <c r="O3" s="30"/>
      <c r="P3" s="30"/>
      <c r="Q3" s="30"/>
      <c r="R3" s="30"/>
      <c r="S3" s="30"/>
      <c r="T3" s="31"/>
      <c r="U3" s="66"/>
    </row>
    <row r="4" spans="1:21" x14ac:dyDescent="0.2">
      <c r="A4" s="26" t="s">
        <v>6</v>
      </c>
      <c r="B4" s="7" t="s">
        <v>7</v>
      </c>
      <c r="C4" s="16">
        <v>93.187876481053763</v>
      </c>
      <c r="D4" s="12">
        <v>92.419943079092363</v>
      </c>
      <c r="E4" s="12">
        <v>91.030305913834312</v>
      </c>
      <c r="F4" s="12">
        <v>87.638062036292141</v>
      </c>
      <c r="G4" s="12">
        <v>81.386496999685718</v>
      </c>
      <c r="H4" s="12">
        <v>61.648901230402799</v>
      </c>
      <c r="I4" s="13">
        <v>50.1996153369262</v>
      </c>
      <c r="J4" s="66">
        <f t="shared" ref="J3:J66" si="0">C4*(1-1)^2+D4*(1-0.75)^2+E4*(1-0.5)^2+F4*(1-0.3)^2+G4*(1-0.2)^2+H4*(1-0.1)^2+I4*(1-0.05)^2</f>
        <v>218.80459423668603</v>
      </c>
      <c r="L4" s="29" t="s">
        <v>7</v>
      </c>
      <c r="M4" s="31"/>
      <c r="N4" s="16">
        <v>3.6629641008104143</v>
      </c>
      <c r="O4" s="12">
        <v>4.0854882292556409</v>
      </c>
      <c r="P4" s="12">
        <v>4.1120388115098363</v>
      </c>
      <c r="Q4" s="12">
        <v>5.4598108584907283</v>
      </c>
      <c r="R4" s="12">
        <v>7.5605060738981908</v>
      </c>
      <c r="S4" s="12">
        <v>10.604590630198228</v>
      </c>
      <c r="T4" s="13">
        <v>8.9515611008684157</v>
      </c>
      <c r="U4" s="66">
        <f t="shared" ref="U4:U67" si="1">N4*(1-1)^2+O4*(1-0.75)^2+P4*(1-0.5)^2+Q4*(1-0.3)^2+R4*(1-0.2)^2+S4*(1-0.1)^2+T4*(1-0.05)^2</f>
        <v>25.465886229155544</v>
      </c>
    </row>
    <row r="5" spans="1:21" x14ac:dyDescent="0.2">
      <c r="A5" s="27"/>
      <c r="B5" s="1" t="s">
        <v>8</v>
      </c>
      <c r="C5" s="17">
        <v>93.308803132668416</v>
      </c>
      <c r="D5">
        <v>92.32654838421324</v>
      </c>
      <c r="E5">
        <v>90.944131581299729</v>
      </c>
      <c r="F5">
        <v>88.444112838346342</v>
      </c>
      <c r="G5">
        <v>81.14231668670719</v>
      </c>
      <c r="H5">
        <v>62.606790139476402</v>
      </c>
      <c r="I5" s="9">
        <v>47.764790352857723</v>
      </c>
      <c r="J5" s="66">
        <f t="shared" si="0"/>
        <v>217.59436344605055</v>
      </c>
      <c r="L5" s="32" t="s">
        <v>8</v>
      </c>
      <c r="M5" s="33"/>
      <c r="N5" s="17">
        <v>3.8099284628268744</v>
      </c>
      <c r="O5">
        <v>4.3923869286198984</v>
      </c>
      <c r="P5">
        <v>4.3803548174400602</v>
      </c>
      <c r="Q5">
        <v>5.4605577308245961</v>
      </c>
      <c r="R5">
        <v>8.0077218140585149</v>
      </c>
      <c r="S5">
        <v>10.235120772896638</v>
      </c>
      <c r="T5" s="9">
        <v>8.5650148358917502</v>
      </c>
      <c r="U5" s="66">
        <f t="shared" si="1"/>
        <v>25.190601851938844</v>
      </c>
    </row>
    <row r="6" spans="1:21" x14ac:dyDescent="0.2">
      <c r="A6" s="27"/>
      <c r="B6" s="1" t="s">
        <v>9</v>
      </c>
      <c r="C6" s="17">
        <v>93.311706848675158</v>
      </c>
      <c r="D6">
        <v>92.970564912614591</v>
      </c>
      <c r="E6">
        <v>92.714911028642135</v>
      </c>
      <c r="F6">
        <v>91.618528995348854</v>
      </c>
      <c r="G6">
        <v>84.537879508761606</v>
      </c>
      <c r="H6">
        <v>58.728483810413593</v>
      </c>
      <c r="I6" s="9">
        <v>46.321297473738248</v>
      </c>
      <c r="J6" s="66">
        <f t="shared" si="0"/>
        <v>217.3617530140111</v>
      </c>
      <c r="L6" s="32" t="s">
        <v>9</v>
      </c>
      <c r="M6" s="33"/>
      <c r="N6" s="17">
        <v>3.6854249541106205</v>
      </c>
      <c r="O6">
        <v>3.5652997191661031</v>
      </c>
      <c r="P6">
        <v>3.9267489059362291</v>
      </c>
      <c r="Q6">
        <v>4.1607335839464268</v>
      </c>
      <c r="R6">
        <v>6.7329594829893642</v>
      </c>
      <c r="S6">
        <v>10.377592524298565</v>
      </c>
      <c r="T6" s="9">
        <v>7.8998713561129659</v>
      </c>
      <c r="U6" s="66">
        <f t="shared" si="1"/>
        <v>23.087855827752669</v>
      </c>
    </row>
    <row r="7" spans="1:21" x14ac:dyDescent="0.2">
      <c r="A7" s="27"/>
      <c r="B7" s="1" t="s">
        <v>10</v>
      </c>
      <c r="C7" s="17">
        <v>93.259627390086976</v>
      </c>
      <c r="D7">
        <v>92.96466520759985</v>
      </c>
      <c r="E7">
        <v>92.449568479542776</v>
      </c>
      <c r="F7">
        <v>90.955452325135454</v>
      </c>
      <c r="G7">
        <v>84.191627955259108</v>
      </c>
      <c r="H7">
        <v>61.887989227127122</v>
      </c>
      <c r="I7" s="9">
        <v>46.872291282796567</v>
      </c>
      <c r="J7" s="66">
        <f t="shared" si="0"/>
        <v>219.80501138273976</v>
      </c>
      <c r="L7" s="32" t="s">
        <v>10</v>
      </c>
      <c r="M7" s="33"/>
      <c r="N7" s="17">
        <v>3.3697427990054161</v>
      </c>
      <c r="O7">
        <v>3.5456273836698302</v>
      </c>
      <c r="P7">
        <v>3.8389563711719141</v>
      </c>
      <c r="Q7">
        <v>4.3734364854011272</v>
      </c>
      <c r="R7">
        <v>7.1466759991199762</v>
      </c>
      <c r="S7">
        <v>10.218201810253335</v>
      </c>
      <c r="T7" s="9">
        <v>6.8495020521328724</v>
      </c>
      <c r="U7" s="66">
        <f t="shared" si="1"/>
        <v>22.356616389910801</v>
      </c>
    </row>
    <row r="8" spans="1:21" x14ac:dyDescent="0.2">
      <c r="A8" s="27"/>
      <c r="B8" s="1" t="s">
        <v>11</v>
      </c>
      <c r="C8" s="17">
        <v>93.593909405214006</v>
      </c>
      <c r="D8">
        <v>93.284284466128582</v>
      </c>
      <c r="E8">
        <v>92.669714559237818</v>
      </c>
      <c r="F8">
        <v>89.612317868955046</v>
      </c>
      <c r="G8">
        <v>84.325126803288398</v>
      </c>
      <c r="H8">
        <v>63.609272859915158</v>
      </c>
      <c r="I8" s="9">
        <v>49.422076892245308</v>
      </c>
      <c r="J8" s="66">
        <f t="shared" si="0"/>
        <v>223.0027487406177</v>
      </c>
      <c r="L8" s="32" t="s">
        <v>11</v>
      </c>
      <c r="M8" s="33"/>
      <c r="N8" s="17">
        <v>3.5074053242674119</v>
      </c>
      <c r="O8">
        <v>3.9399538658766482</v>
      </c>
      <c r="P8">
        <v>4.159993860751583</v>
      </c>
      <c r="Q8">
        <v>5.1168143294470738</v>
      </c>
      <c r="R8">
        <v>6.5623946230239643</v>
      </c>
      <c r="S8">
        <v>11.499157764357163</v>
      </c>
      <c r="T8" s="9">
        <v>10.586918286592827</v>
      </c>
      <c r="U8" s="66">
        <f t="shared" si="1"/>
        <v>26.862428704748922</v>
      </c>
    </row>
    <row r="9" spans="1:21" x14ac:dyDescent="0.2">
      <c r="A9" s="27"/>
      <c r="B9" s="1" t="s">
        <v>12</v>
      </c>
      <c r="C9" s="17">
        <v>93.271403731866201</v>
      </c>
      <c r="D9">
        <v>93.159332404836263</v>
      </c>
      <c r="E9">
        <v>92.607934901397655</v>
      </c>
      <c r="F9">
        <v>91.395767552775823</v>
      </c>
      <c r="G9">
        <v>86.100098905123176</v>
      </c>
      <c r="H9">
        <v>60.13909866579008</v>
      </c>
      <c r="I9" s="9">
        <v>45.242222395234101</v>
      </c>
      <c r="J9" s="66">
        <f t="shared" si="0"/>
        <v>218.40620703177942</v>
      </c>
      <c r="L9" s="32" t="s">
        <v>12</v>
      </c>
      <c r="M9" s="33"/>
      <c r="N9" s="17">
        <v>3.311889145333164</v>
      </c>
      <c r="O9">
        <v>3.5622318729197451</v>
      </c>
      <c r="P9">
        <v>3.7249656002914562</v>
      </c>
      <c r="Q9">
        <v>4.592478163076521</v>
      </c>
      <c r="R9">
        <v>5.9203738735922764</v>
      </c>
      <c r="S9">
        <v>9.725428258600461</v>
      </c>
      <c r="T9" s="9">
        <v>7.8411073439630128</v>
      </c>
      <c r="U9" s="66">
        <f t="shared" si="1"/>
        <v>22.147430738529895</v>
      </c>
    </row>
    <row r="10" spans="1:21" ht="15" thickBot="1" x14ac:dyDescent="0.25">
      <c r="A10" s="28"/>
      <c r="B10" s="1" t="s">
        <v>13</v>
      </c>
      <c r="C10" s="18">
        <v>93.614587208078504</v>
      </c>
      <c r="D10" s="10">
        <v>92.683728521296331</v>
      </c>
      <c r="E10" s="10">
        <v>92.067301620256245</v>
      </c>
      <c r="F10" s="10">
        <v>89.309630706147985</v>
      </c>
      <c r="G10" s="10">
        <v>84.609852449704022</v>
      </c>
      <c r="H10" s="10">
        <v>64.470915261666036</v>
      </c>
      <c r="I10" s="11">
        <v>50.663073786682133</v>
      </c>
      <c r="J10" s="66">
        <f t="shared" si="0"/>
        <v>224.6664485058983</v>
      </c>
      <c r="L10" s="37" t="s">
        <v>13</v>
      </c>
      <c r="M10" s="38"/>
      <c r="N10" s="18">
        <v>3.5679190940153709</v>
      </c>
      <c r="O10" s="10">
        <v>5.0380655017886244</v>
      </c>
      <c r="P10" s="10">
        <v>4.1912600383848426</v>
      </c>
      <c r="Q10" s="10">
        <v>5.0446554677555504</v>
      </c>
      <c r="R10" s="10">
        <v>6.8308155253380578</v>
      </c>
      <c r="S10" s="10">
        <v>11.985648803016417</v>
      </c>
      <c r="T10" s="11">
        <v>9.3215519312796236</v>
      </c>
      <c r="U10" s="66">
        <f t="shared" si="1"/>
        <v>26.327373367297731</v>
      </c>
    </row>
    <row r="11" spans="1:21" ht="15" thickBot="1" x14ac:dyDescent="0.25">
      <c r="A11" s="4" t="s">
        <v>14</v>
      </c>
      <c r="B11" s="24" t="s">
        <v>15</v>
      </c>
      <c r="C11" s="19">
        <v>93.118097907421358</v>
      </c>
      <c r="D11" s="14">
        <v>91.523464735854105</v>
      </c>
      <c r="E11" s="14">
        <v>89.983999284884248</v>
      </c>
      <c r="F11" s="14">
        <v>85.977332560546969</v>
      </c>
      <c r="G11" s="14">
        <v>80.809271706502642</v>
      </c>
      <c r="H11" s="14">
        <v>64.483571080488019</v>
      </c>
      <c r="I11" s="15">
        <v>49.199995963056203</v>
      </c>
      <c r="J11" s="66">
        <f t="shared" si="0"/>
        <v>218.6977321458952</v>
      </c>
      <c r="L11" s="4" t="s">
        <v>14</v>
      </c>
      <c r="M11" s="24" t="s">
        <v>15</v>
      </c>
      <c r="N11" s="19">
        <v>3.7095020112708061</v>
      </c>
      <c r="O11" s="14">
        <v>4.1472545580497782</v>
      </c>
      <c r="P11" s="14">
        <v>5.2794593511448591</v>
      </c>
      <c r="Q11" s="14">
        <v>4.6638117789428968</v>
      </c>
      <c r="R11" s="14">
        <v>6.2635338476232363</v>
      </c>
      <c r="S11" s="14">
        <v>9.2938511603856284</v>
      </c>
      <c r="T11" s="15">
        <v>8.7638206762757687</v>
      </c>
      <c r="U11" s="66">
        <f t="shared" si="1"/>
        <v>23.310365282076457</v>
      </c>
    </row>
    <row r="12" spans="1:21" ht="15" thickBot="1" x14ac:dyDescent="0.25">
      <c r="A12" s="29" t="s">
        <v>21</v>
      </c>
      <c r="B12" s="30"/>
      <c r="C12" s="30"/>
      <c r="D12" s="30"/>
      <c r="E12" s="30"/>
      <c r="F12" s="30"/>
      <c r="G12" s="30"/>
      <c r="H12" s="30"/>
      <c r="I12" s="31"/>
      <c r="J12" s="66"/>
      <c r="L12" s="29" t="s">
        <v>21</v>
      </c>
      <c r="M12" s="30"/>
      <c r="N12" s="30"/>
      <c r="O12" s="30"/>
      <c r="P12" s="30"/>
      <c r="Q12" s="30"/>
      <c r="R12" s="30"/>
      <c r="S12" s="30"/>
      <c r="T12" s="31"/>
      <c r="U12" s="66"/>
    </row>
    <row r="13" spans="1:21" x14ac:dyDescent="0.2">
      <c r="A13" s="26" t="s">
        <v>6</v>
      </c>
      <c r="B13" s="20" t="s">
        <v>7</v>
      </c>
      <c r="C13" s="56">
        <v>93.412019135113653</v>
      </c>
      <c r="D13" s="52">
        <v>92.700150231980103</v>
      </c>
      <c r="E13" s="52">
        <v>90.866106108184326</v>
      </c>
      <c r="F13" s="52">
        <v>87.019879064697776</v>
      </c>
      <c r="G13" s="52">
        <v>81.298826114412762</v>
      </c>
      <c r="H13" s="52">
        <v>57.884361744767112</v>
      </c>
      <c r="I13" s="53">
        <v>47.149257346516833</v>
      </c>
      <c r="J13" s="66">
        <f t="shared" si="0"/>
        <v>212.61981313996375</v>
      </c>
      <c r="L13" s="26" t="s">
        <v>6</v>
      </c>
      <c r="M13" s="20" t="s">
        <v>7</v>
      </c>
      <c r="N13" s="56">
        <v>3.5955963721329369</v>
      </c>
      <c r="O13" s="52">
        <v>4.0549774402871313</v>
      </c>
      <c r="P13" s="52">
        <v>4.7861962209653077</v>
      </c>
      <c r="Q13" s="52">
        <v>5.3985427779373119</v>
      </c>
      <c r="R13" s="52">
        <v>8.0634427695566178</v>
      </c>
      <c r="S13" s="52">
        <v>10.540674317580731</v>
      </c>
      <c r="T13" s="53">
        <v>9.1946109090161201</v>
      </c>
      <c r="U13" s="66">
        <f t="shared" si="1"/>
        <v>26.091957021592236</v>
      </c>
    </row>
    <row r="14" spans="1:21" x14ac:dyDescent="0.2">
      <c r="A14" s="27"/>
      <c r="B14" s="21" t="s">
        <v>8</v>
      </c>
      <c r="C14" s="57">
        <v>93.204580777803727</v>
      </c>
      <c r="D14" s="39">
        <v>92.558574612813814</v>
      </c>
      <c r="E14" s="39">
        <v>91.351698544105048</v>
      </c>
      <c r="F14" s="39">
        <v>87.924918612329392</v>
      </c>
      <c r="G14" s="39">
        <v>82.69995703538379</v>
      </c>
      <c r="H14" s="39">
        <v>55.925201198395598</v>
      </c>
      <c r="I14" s="49">
        <v>47.586991813654677</v>
      </c>
      <c r="J14" s="66">
        <f t="shared" si="0"/>
        <v>212.88069125453794</v>
      </c>
      <c r="L14" s="27"/>
      <c r="M14" s="21" t="s">
        <v>8</v>
      </c>
      <c r="N14" s="57">
        <v>3.6376493540248962</v>
      </c>
      <c r="O14" s="39">
        <v>3.9153964011658289</v>
      </c>
      <c r="P14" s="39">
        <v>4.4721016435418202</v>
      </c>
      <c r="Q14" s="39">
        <v>5.3851651954184687</v>
      </c>
      <c r="R14" s="39">
        <v>6.9646613598834817</v>
      </c>
      <c r="S14" s="39">
        <v>10.7326520847803</v>
      </c>
      <c r="T14" s="49">
        <v>9.372545266190512</v>
      </c>
      <c r="U14" s="66">
        <f t="shared" si="1"/>
        <v>25.611022193447781</v>
      </c>
    </row>
    <row r="15" spans="1:21" x14ac:dyDescent="0.2">
      <c r="A15" s="27"/>
      <c r="B15" s="21" t="s">
        <v>9</v>
      </c>
      <c r="C15" s="57">
        <v>93.288217602805091</v>
      </c>
      <c r="D15" s="39">
        <v>92.315899503167557</v>
      </c>
      <c r="E15" s="39">
        <v>90.980847585186709</v>
      </c>
      <c r="F15" s="39">
        <v>88.482212937251489</v>
      </c>
      <c r="G15" s="39">
        <v>78.960247637666996</v>
      </c>
      <c r="H15" s="39">
        <v>57.199177040170483</v>
      </c>
      <c r="I15" s="49">
        <v>48.368699844577677</v>
      </c>
      <c r="J15" s="66">
        <f t="shared" si="0"/>
        <v>212.38988345487419</v>
      </c>
      <c r="L15" s="27"/>
      <c r="M15" s="21" t="s">
        <v>9</v>
      </c>
      <c r="N15" s="57">
        <v>3.6843150112667198</v>
      </c>
      <c r="O15" s="39">
        <v>4.1021034710429767</v>
      </c>
      <c r="P15" s="39">
        <v>4.9133461628904458</v>
      </c>
      <c r="Q15" s="39">
        <v>4.9619574879021151</v>
      </c>
      <c r="R15" s="39">
        <v>7.6803988856748493</v>
      </c>
      <c r="S15" s="39">
        <v>10.869805971081529</v>
      </c>
      <c r="T15" s="49">
        <v>8.7378011350777829</v>
      </c>
      <c r="U15" s="66">
        <f t="shared" si="1"/>
        <v>25.521940824550477</v>
      </c>
    </row>
    <row r="16" spans="1:21" x14ac:dyDescent="0.2">
      <c r="A16" s="27"/>
      <c r="B16" s="21" t="s">
        <v>10</v>
      </c>
      <c r="C16" s="57">
        <v>93.147538761869328</v>
      </c>
      <c r="D16" s="39">
        <v>92.527092218214094</v>
      </c>
      <c r="E16" s="39">
        <v>91.420511134756055</v>
      </c>
      <c r="F16" s="39">
        <v>87.976147429187691</v>
      </c>
      <c r="G16" s="39">
        <v>81.260368457627933</v>
      </c>
      <c r="H16" s="39">
        <v>57.749118360308778</v>
      </c>
      <c r="I16" s="49">
        <v>48.686675490272393</v>
      </c>
      <c r="J16" s="66">
        <f t="shared" si="0"/>
        <v>214.46952960233219</v>
      </c>
      <c r="L16" s="27"/>
      <c r="M16" s="21" t="s">
        <v>10</v>
      </c>
      <c r="N16" s="57">
        <v>3.835149322504412</v>
      </c>
      <c r="O16" s="39">
        <v>4.0129114665445984</v>
      </c>
      <c r="P16" s="39">
        <v>4.5180320949153963</v>
      </c>
      <c r="Q16" s="39">
        <v>5.286655935711436</v>
      </c>
      <c r="R16" s="39">
        <v>7.7395899279042144</v>
      </c>
      <c r="S16" s="39">
        <v>9.3982418402447987</v>
      </c>
      <c r="T16" s="49">
        <v>9.6801986663997184</v>
      </c>
      <c r="U16" s="66">
        <f t="shared" si="1"/>
        <v>25.27306913976922</v>
      </c>
    </row>
    <row r="17" spans="1:21" x14ac:dyDescent="0.2">
      <c r="A17" s="27"/>
      <c r="B17" s="21" t="s">
        <v>11</v>
      </c>
      <c r="C17" s="57">
        <v>93.237972070115944</v>
      </c>
      <c r="D17" s="39">
        <v>92.520289967906308</v>
      </c>
      <c r="E17" s="39">
        <v>90.717442769112765</v>
      </c>
      <c r="F17" s="39">
        <v>88.093181313563818</v>
      </c>
      <c r="G17" s="39">
        <v>79.306804845485985</v>
      </c>
      <c r="H17" s="39">
        <v>57.133677626969103</v>
      </c>
      <c r="I17" s="49">
        <v>48.181137668434268</v>
      </c>
      <c r="J17" s="66">
        <f t="shared" si="0"/>
        <v>212.14564838363654</v>
      </c>
      <c r="L17" s="27"/>
      <c r="M17" s="21" t="s">
        <v>11</v>
      </c>
      <c r="N17" s="57">
        <v>3.7148656273501048</v>
      </c>
      <c r="O17" s="39">
        <v>4.1373483886141802</v>
      </c>
      <c r="P17" s="39">
        <v>4.5569263761066958</v>
      </c>
      <c r="Q17" s="39">
        <v>5.6605841290758816</v>
      </c>
      <c r="R17" s="39">
        <v>7.599037742950757</v>
      </c>
      <c r="S17" s="39">
        <v>10.46884027150387</v>
      </c>
      <c r="T17" s="49">
        <v>9.2214831978971734</v>
      </c>
      <c r="U17" s="66">
        <f t="shared" si="1"/>
        <v>25.83703545307106</v>
      </c>
    </row>
    <row r="18" spans="1:21" x14ac:dyDescent="0.2">
      <c r="A18" s="27"/>
      <c r="B18" s="21" t="s">
        <v>12</v>
      </c>
      <c r="C18" s="57">
        <v>93.104256957240096</v>
      </c>
      <c r="D18" s="39">
        <v>92.729005729576642</v>
      </c>
      <c r="E18" s="39">
        <v>91.360245330841963</v>
      </c>
      <c r="F18" s="39">
        <v>87.877444153207776</v>
      </c>
      <c r="G18" s="39">
        <v>81.801171867115315</v>
      </c>
      <c r="H18" s="39">
        <v>56.642271991972251</v>
      </c>
      <c r="I18" s="49">
        <v>47.680536452160773</v>
      </c>
      <c r="J18" s="66">
        <f t="shared" si="0"/>
        <v>212.9602462824073</v>
      </c>
      <c r="L18" s="27"/>
      <c r="M18" s="21" t="s">
        <v>12</v>
      </c>
      <c r="N18" s="57">
        <v>3.6877819234858031</v>
      </c>
      <c r="O18" s="39">
        <v>4.0938402375262717</v>
      </c>
      <c r="P18" s="39">
        <v>4.506021533437977</v>
      </c>
      <c r="Q18" s="39">
        <v>5.4157666807490932</v>
      </c>
      <c r="R18" s="39">
        <v>6.6628798984876498</v>
      </c>
      <c r="S18" s="39">
        <v>10.65101603106605</v>
      </c>
      <c r="T18" s="49">
        <v>9.0786569389275922</v>
      </c>
      <c r="U18" s="66">
        <f t="shared" si="1"/>
        <v>25.121150079349693</v>
      </c>
    </row>
    <row r="19" spans="1:21" ht="15" thickBot="1" x14ac:dyDescent="0.25">
      <c r="A19" s="28"/>
      <c r="B19" s="22" t="s">
        <v>13</v>
      </c>
      <c r="C19" s="58">
        <v>93.453420877343234</v>
      </c>
      <c r="D19" s="50">
        <v>92.969645066133808</v>
      </c>
      <c r="E19" s="50">
        <v>90.976369461096837</v>
      </c>
      <c r="F19" s="50">
        <v>88.26805018497852</v>
      </c>
      <c r="G19" s="50">
        <v>81.39328771586834</v>
      </c>
      <c r="H19" s="50">
        <v>58.06150283883656</v>
      </c>
      <c r="I19" s="51">
        <v>48.298451255345341</v>
      </c>
      <c r="J19" s="66">
        <f t="shared" si="0"/>
        <v>214.51691346810958</v>
      </c>
      <c r="L19" s="28"/>
      <c r="M19" s="22" t="s">
        <v>13</v>
      </c>
      <c r="N19" s="58">
        <v>3.5906054809754679</v>
      </c>
      <c r="O19" s="50">
        <v>3.844453460330584</v>
      </c>
      <c r="P19" s="50">
        <v>4.6653855939129301</v>
      </c>
      <c r="Q19" s="50">
        <v>5.4046191027796233</v>
      </c>
      <c r="R19" s="50">
        <v>7.2901893146385044</v>
      </c>
      <c r="S19" s="50">
        <v>10.62208967258444</v>
      </c>
      <c r="T19" s="51">
        <v>9.5382908520622589</v>
      </c>
      <c r="U19" s="66">
        <f t="shared" si="1"/>
        <v>25.932809390259138</v>
      </c>
    </row>
    <row r="20" spans="1:21" ht="15" thickBot="1" x14ac:dyDescent="0.25">
      <c r="A20" s="3" t="s">
        <v>14</v>
      </c>
      <c r="B20" s="25" t="s">
        <v>17</v>
      </c>
      <c r="C20" s="18">
        <v>93.365954722791713</v>
      </c>
      <c r="D20" s="10">
        <v>92.953929820615514</v>
      </c>
      <c r="E20" s="10">
        <v>92.363177882161622</v>
      </c>
      <c r="F20" s="10">
        <v>90.139831082737146</v>
      </c>
      <c r="G20" s="10">
        <v>85.704671609039309</v>
      </c>
      <c r="H20" s="10">
        <v>70.630570622006516</v>
      </c>
      <c r="I20" s="11">
        <v>51.370542421070539</v>
      </c>
      <c r="J20" s="66">
        <f t="shared" si="0"/>
        <v>231.49259888349667</v>
      </c>
      <c r="L20" s="4" t="s">
        <v>14</v>
      </c>
      <c r="M20" s="23" t="s">
        <v>17</v>
      </c>
      <c r="N20" s="18">
        <v>3.6675181053903749</v>
      </c>
      <c r="O20" s="10">
        <v>3.953165926503563</v>
      </c>
      <c r="P20" s="10">
        <v>4.1014418287709162</v>
      </c>
      <c r="Q20" s="10">
        <v>4.4748820350339917</v>
      </c>
      <c r="R20" s="10">
        <v>5.9464430898845917</v>
      </c>
      <c r="S20" s="10">
        <v>9.9254293554512856</v>
      </c>
      <c r="T20" s="11">
        <v>9.3127481496540874</v>
      </c>
      <c r="U20" s="66">
        <f t="shared" si="1"/>
        <v>23.715202085270352</v>
      </c>
    </row>
    <row r="21" spans="1:21" ht="15" thickBot="1" x14ac:dyDescent="0.25">
      <c r="A21" s="29" t="s">
        <v>18</v>
      </c>
      <c r="B21" s="30"/>
      <c r="C21" s="30"/>
      <c r="D21" s="30"/>
      <c r="E21" s="30"/>
      <c r="F21" s="30"/>
      <c r="G21" s="30"/>
      <c r="H21" s="30"/>
      <c r="I21" s="31"/>
      <c r="J21" s="66"/>
      <c r="L21" s="29" t="s">
        <v>18</v>
      </c>
      <c r="M21" s="30"/>
      <c r="N21" s="30"/>
      <c r="O21" s="30"/>
      <c r="P21" s="30"/>
      <c r="Q21" s="30"/>
      <c r="R21" s="30"/>
      <c r="S21" s="30"/>
      <c r="T21" s="31"/>
      <c r="U21" s="66"/>
    </row>
    <row r="22" spans="1:21" x14ac:dyDescent="0.2">
      <c r="A22" s="26" t="s">
        <v>6</v>
      </c>
      <c r="B22" s="7" t="s">
        <v>7</v>
      </c>
      <c r="C22" s="16">
        <v>92.647075955097662</v>
      </c>
      <c r="D22" s="12">
        <v>92.587078319593303</v>
      </c>
      <c r="E22" s="12">
        <v>92.23308448458323</v>
      </c>
      <c r="F22" s="12">
        <v>88.327142391658512</v>
      </c>
      <c r="G22" s="12">
        <v>82.419579754150135</v>
      </c>
      <c r="H22" s="12">
        <v>60.920942222683578</v>
      </c>
      <c r="I22" s="13">
        <v>45.110992886328312</v>
      </c>
      <c r="J22" s="66">
        <f t="shared" si="0"/>
        <v>214.93242861097414</v>
      </c>
      <c r="L22" s="29" t="s">
        <v>7</v>
      </c>
      <c r="M22" s="31"/>
      <c r="N22" s="16">
        <v>4.0604681413027759</v>
      </c>
      <c r="O22" s="12">
        <v>3.8573028637355811</v>
      </c>
      <c r="P22" s="12">
        <v>3.8633707137130382</v>
      </c>
      <c r="Q22" s="12">
        <v>5.194198052708991</v>
      </c>
      <c r="R22" s="12">
        <v>6.8125210783636883</v>
      </c>
      <c r="S22" s="12">
        <v>10.269550737327521</v>
      </c>
      <c r="T22" s="13">
        <v>5.8208341746073478</v>
      </c>
      <c r="U22" s="66">
        <f t="shared" si="1"/>
        <v>21.683733583210323</v>
      </c>
    </row>
    <row r="23" spans="1:21" x14ac:dyDescent="0.2">
      <c r="A23" s="27"/>
      <c r="B23" s="1" t="s">
        <v>8</v>
      </c>
      <c r="C23" s="17">
        <v>92.97837928240439</v>
      </c>
      <c r="D23">
        <v>92.593967075839743</v>
      </c>
      <c r="E23">
        <v>92.130822930994199</v>
      </c>
      <c r="F23">
        <v>89.238594912874092</v>
      </c>
      <c r="G23">
        <v>80.905751779859685</v>
      </c>
      <c r="H23">
        <v>63.445306620299483</v>
      </c>
      <c r="I23" s="9">
        <v>47.042050536769352</v>
      </c>
      <c r="J23" s="66">
        <f t="shared" si="0"/>
        <v>218.17257029328397</v>
      </c>
      <c r="L23" s="32" t="s">
        <v>8</v>
      </c>
      <c r="M23" s="33"/>
      <c r="N23" s="17">
        <v>3.7273868073115999</v>
      </c>
      <c r="O23">
        <v>3.6654319367583188</v>
      </c>
      <c r="P23">
        <v>3.986713475710228</v>
      </c>
      <c r="Q23">
        <v>4.8620296546412876</v>
      </c>
      <c r="R23">
        <v>6.4551135677995459</v>
      </c>
      <c r="S23">
        <v>10.000379879806211</v>
      </c>
      <c r="T23" s="9">
        <v>8.9282122104016501</v>
      </c>
      <c r="U23" s="66">
        <f t="shared" si="1"/>
        <v>23.897454301671413</v>
      </c>
    </row>
    <row r="24" spans="1:21" x14ac:dyDescent="0.2">
      <c r="A24" s="27"/>
      <c r="B24" s="1" t="s">
        <v>9</v>
      </c>
      <c r="C24" s="17">
        <v>93.060998220861208</v>
      </c>
      <c r="D24">
        <v>92.749435548750427</v>
      </c>
      <c r="E24">
        <v>92.157362952966707</v>
      </c>
      <c r="F24">
        <v>89.779983679212904</v>
      </c>
      <c r="G24">
        <v>81.376545933211645</v>
      </c>
      <c r="H24">
        <v>64.861789461846556</v>
      </c>
      <c r="I24" s="9">
        <v>47.058775018238329</v>
      </c>
      <c r="J24" s="66">
        <f t="shared" si="0"/>
        <v>219.91795577816416</v>
      </c>
      <c r="L24" s="32" t="s">
        <v>9</v>
      </c>
      <c r="M24" s="33"/>
      <c r="N24" s="17">
        <v>3.4295909202045869</v>
      </c>
      <c r="O24">
        <v>3.617203795387343</v>
      </c>
      <c r="P24">
        <v>4.201280829954321</v>
      </c>
      <c r="Q24">
        <v>4.0650016499244339</v>
      </c>
      <c r="R24">
        <v>6.9320814928017764</v>
      </c>
      <c r="S24">
        <v>9.3154130945512517</v>
      </c>
      <c r="T24" s="9">
        <v>5.7449849192614089</v>
      </c>
      <c r="U24" s="66">
        <f t="shared" si="1"/>
        <v>20.435111904776335</v>
      </c>
    </row>
    <row r="25" spans="1:21" x14ac:dyDescent="0.2">
      <c r="A25" s="27"/>
      <c r="B25" s="1" t="s">
        <v>10</v>
      </c>
      <c r="C25" s="17">
        <v>92.761119617528422</v>
      </c>
      <c r="D25">
        <v>92.562553885990937</v>
      </c>
      <c r="E25">
        <v>91.358353734317205</v>
      </c>
      <c r="F25">
        <v>86.897481812126387</v>
      </c>
      <c r="G25">
        <v>79.930867337376043</v>
      </c>
      <c r="H25">
        <v>61.868294708431748</v>
      </c>
      <c r="I25" s="9">
        <v>46.079862282545697</v>
      </c>
      <c r="J25" s="66">
        <f t="shared" si="0"/>
        <v>214.06066365914356</v>
      </c>
      <c r="L25" s="32" t="s">
        <v>10</v>
      </c>
      <c r="M25" s="33"/>
      <c r="N25" s="17">
        <v>3.9135246883003809</v>
      </c>
      <c r="O25">
        <v>3.6624993809900501</v>
      </c>
      <c r="P25">
        <v>4.0909622206933456</v>
      </c>
      <c r="Q25">
        <v>4.7477108621707922</v>
      </c>
      <c r="R25">
        <v>7.5107914851278164</v>
      </c>
      <c r="S25">
        <v>11.574327055840239</v>
      </c>
      <c r="T25" s="9">
        <v>6.501840390700413</v>
      </c>
      <c r="U25" s="66">
        <f t="shared" si="1"/>
        <v>23.628047507268423</v>
      </c>
    </row>
    <row r="26" spans="1:21" x14ac:dyDescent="0.2">
      <c r="A26" s="27"/>
      <c r="B26" s="1" t="s">
        <v>11</v>
      </c>
      <c r="C26" s="17">
        <v>92.852547744069312</v>
      </c>
      <c r="D26">
        <v>92.750516872983297</v>
      </c>
      <c r="E26">
        <v>91.812221559010041</v>
      </c>
      <c r="F26">
        <v>89.559312796823505</v>
      </c>
      <c r="G26">
        <v>81.234090837002626</v>
      </c>
      <c r="H26">
        <v>63.72617986891467</v>
      </c>
      <c r="I26" s="9">
        <v>46.513675147132183</v>
      </c>
      <c r="J26" s="66">
        <f t="shared" si="0"/>
        <v>218.22064161454685</v>
      </c>
      <c r="L26" s="32" t="s">
        <v>11</v>
      </c>
      <c r="M26" s="33"/>
      <c r="N26" s="17">
        <v>3.6530588713239762</v>
      </c>
      <c r="O26">
        <v>3.8382794952928831</v>
      </c>
      <c r="P26">
        <v>3.814428687961871</v>
      </c>
      <c r="Q26">
        <v>4.5133206423398251</v>
      </c>
      <c r="R26">
        <v>6.8828367845921319</v>
      </c>
      <c r="S26">
        <v>10.48962153158188</v>
      </c>
      <c r="T26" s="9">
        <v>8.4612884626549132</v>
      </c>
      <c r="U26" s="66">
        <f t="shared" si="1"/>
        <v>23.942948575459134</v>
      </c>
    </row>
    <row r="27" spans="1:21" x14ac:dyDescent="0.2">
      <c r="A27" s="27"/>
      <c r="B27" s="1" t="s">
        <v>12</v>
      </c>
      <c r="C27" s="17">
        <v>92.832463948650073</v>
      </c>
      <c r="D27">
        <v>92.387661946325977</v>
      </c>
      <c r="E27">
        <v>91.790384576567845</v>
      </c>
      <c r="F27">
        <v>89.445424845082286</v>
      </c>
      <c r="G27">
        <v>81.72034071805696</v>
      </c>
      <c r="H27">
        <v>65.102702733876015</v>
      </c>
      <c r="I27" s="9">
        <v>46.576293912577093</v>
      </c>
      <c r="J27" s="66">
        <f t="shared" si="0"/>
        <v>219.61939571997451</v>
      </c>
      <c r="L27" s="32" t="s">
        <v>12</v>
      </c>
      <c r="M27" s="33"/>
      <c r="N27" s="17">
        <v>3.5926935072213531</v>
      </c>
      <c r="O27">
        <v>3.933735805503384</v>
      </c>
      <c r="P27">
        <v>4.2632649169296757</v>
      </c>
      <c r="Q27">
        <v>4.7315873559512616</v>
      </c>
      <c r="R27">
        <v>6.9341221119894003</v>
      </c>
      <c r="S27">
        <v>8.8578197765136029</v>
      </c>
      <c r="T27" s="9">
        <v>5.5449902452689406</v>
      </c>
      <c r="U27" s="66">
        <f t="shared" si="1"/>
        <v>20.247178388496955</v>
      </c>
    </row>
    <row r="28" spans="1:21" ht="15" thickBot="1" x14ac:dyDescent="0.25">
      <c r="A28" s="28"/>
      <c r="B28" s="1" t="s">
        <v>13</v>
      </c>
      <c r="C28" s="17">
        <v>93.182919690770106</v>
      </c>
      <c r="D28">
        <v>92.549765424729728</v>
      </c>
      <c r="E28">
        <v>92.286533620533064</v>
      </c>
      <c r="F28">
        <v>89.233416090681303</v>
      </c>
      <c r="G28">
        <v>81.240163553894646</v>
      </c>
      <c r="H28">
        <v>63.536152273520237</v>
      </c>
      <c r="I28" s="9">
        <v>47.047563848591537</v>
      </c>
      <c r="J28" s="66">
        <f t="shared" si="0"/>
        <v>218.49878201801056</v>
      </c>
      <c r="L28" s="37" t="s">
        <v>13</v>
      </c>
      <c r="M28" s="38"/>
      <c r="N28" s="17">
        <v>3.4324011613438459</v>
      </c>
      <c r="O28">
        <v>4.1632648339400236</v>
      </c>
      <c r="P28">
        <v>4.2866138012366628</v>
      </c>
      <c r="Q28">
        <v>4.6818244418908934</v>
      </c>
      <c r="R28">
        <v>6.6629512152087207</v>
      </c>
      <c r="S28">
        <v>10.27318367487177</v>
      </c>
      <c r="T28" s="9">
        <v>8.2280884671213084</v>
      </c>
      <c r="U28" s="66">
        <f t="shared" si="1"/>
        <v>23.637368874913651</v>
      </c>
    </row>
    <row r="29" spans="1:21" ht="15" thickBot="1" x14ac:dyDescent="0.25">
      <c r="A29" s="4" t="s">
        <v>14</v>
      </c>
      <c r="B29" s="24" t="s">
        <v>15</v>
      </c>
      <c r="C29" s="19">
        <v>93.118097907421358</v>
      </c>
      <c r="D29" s="14">
        <v>91.523464735854105</v>
      </c>
      <c r="E29" s="14">
        <v>89.983999284884248</v>
      </c>
      <c r="F29" s="14">
        <v>85.977332560546969</v>
      </c>
      <c r="G29" s="14">
        <v>80.809271706502642</v>
      </c>
      <c r="H29" s="14">
        <v>64.483571080488019</v>
      </c>
      <c r="I29" s="15">
        <v>49.199995963056203</v>
      </c>
      <c r="J29" s="66">
        <f t="shared" si="0"/>
        <v>218.6977321458952</v>
      </c>
      <c r="L29" s="4" t="s">
        <v>14</v>
      </c>
      <c r="M29" s="24" t="s">
        <v>15</v>
      </c>
      <c r="N29" s="19">
        <v>3.7095020112708061</v>
      </c>
      <c r="O29" s="14">
        <v>4.1472545580497782</v>
      </c>
      <c r="P29" s="14">
        <v>5.2794593511448591</v>
      </c>
      <c r="Q29" s="14">
        <v>4.6638117789428968</v>
      </c>
      <c r="R29" s="14">
        <v>6.2635338476232363</v>
      </c>
      <c r="S29" s="14">
        <v>9.2938511603856284</v>
      </c>
      <c r="T29" s="15">
        <v>8.7638206762757687</v>
      </c>
      <c r="U29" s="66">
        <f t="shared" si="1"/>
        <v>23.310365282076457</v>
      </c>
    </row>
    <row r="30" spans="1:21" ht="15" thickBot="1" x14ac:dyDescent="0.25">
      <c r="A30" s="29" t="s">
        <v>19</v>
      </c>
      <c r="B30" s="30"/>
      <c r="C30" s="30"/>
      <c r="D30" s="30"/>
      <c r="E30" s="30"/>
      <c r="F30" s="30"/>
      <c r="G30" s="30"/>
      <c r="H30" s="30"/>
      <c r="I30" s="31"/>
      <c r="J30" s="66"/>
      <c r="L30" s="29" t="s">
        <v>19</v>
      </c>
      <c r="M30" s="30"/>
      <c r="N30" s="30"/>
      <c r="O30" s="30"/>
      <c r="P30" s="30"/>
      <c r="Q30" s="30"/>
      <c r="R30" s="30"/>
      <c r="S30" s="30"/>
      <c r="T30" s="31"/>
      <c r="U30" s="66"/>
    </row>
    <row r="31" spans="1:21" x14ac:dyDescent="0.2">
      <c r="A31" s="26" t="s">
        <v>6</v>
      </c>
      <c r="B31" s="20" t="s">
        <v>7</v>
      </c>
      <c r="C31" s="12">
        <v>92.79746076234801</v>
      </c>
      <c r="D31" s="12">
        <v>92.09972981311833</v>
      </c>
      <c r="E31" s="12">
        <v>91.994123363235545</v>
      </c>
      <c r="F31" s="12">
        <v>89.541535826434497</v>
      </c>
      <c r="G31" s="12">
        <v>81.67196083011099</v>
      </c>
      <c r="H31" s="12">
        <v>63.762388371295017</v>
      </c>
      <c r="I31" s="13">
        <v>48.357978875249778</v>
      </c>
      <c r="J31" s="66">
        <f t="shared" si="0"/>
        <v>220.19078195601463</v>
      </c>
      <c r="L31" s="26" t="s">
        <v>6</v>
      </c>
      <c r="M31" s="20" t="s">
        <v>7</v>
      </c>
      <c r="N31" s="12">
        <v>3.5644328509299981</v>
      </c>
      <c r="O31" s="12">
        <v>4.2050438921565183</v>
      </c>
      <c r="P31" s="12">
        <v>3.8992827190949368</v>
      </c>
      <c r="Q31" s="12">
        <v>4.4855441585972624</v>
      </c>
      <c r="R31" s="12">
        <v>6.3300685901903293</v>
      </c>
      <c r="S31" s="12">
        <v>9.4934523864393956</v>
      </c>
      <c r="T31" s="13">
        <v>7.6336882851862198</v>
      </c>
      <c r="U31" s="66">
        <f t="shared" si="1"/>
        <v>22.06589656886446</v>
      </c>
    </row>
    <row r="32" spans="1:21" x14ac:dyDescent="0.2">
      <c r="A32" s="27"/>
      <c r="B32" s="21" t="s">
        <v>8</v>
      </c>
      <c r="C32">
        <v>92.97743636767332</v>
      </c>
      <c r="D32">
        <v>92.087691069991962</v>
      </c>
      <c r="E32">
        <v>91.488331790644082</v>
      </c>
      <c r="F32">
        <v>87.81749842126662</v>
      </c>
      <c r="G32">
        <v>80.833879762512382</v>
      </c>
      <c r="H32">
        <v>68.633586795733521</v>
      </c>
      <c r="I32" s="9">
        <v>51.679287883113183</v>
      </c>
      <c r="J32" s="66">
        <f t="shared" si="0"/>
        <v>225.62558353301787</v>
      </c>
      <c r="L32" s="27"/>
      <c r="M32" s="21" t="s">
        <v>8</v>
      </c>
      <c r="N32">
        <v>3.7639591510057691</v>
      </c>
      <c r="O32">
        <v>4.104491980795232</v>
      </c>
      <c r="P32">
        <v>3.870871676227456</v>
      </c>
      <c r="Q32">
        <v>4.5942331539360346</v>
      </c>
      <c r="R32">
        <v>6.091605017041668</v>
      </c>
      <c r="S32">
        <v>7.8884246682162882</v>
      </c>
      <c r="T32" s="9">
        <v>9.5582419416123336</v>
      </c>
      <c r="U32" s="66">
        <f t="shared" si="1"/>
        <v>22.389987457752213</v>
      </c>
    </row>
    <row r="33" spans="1:21" x14ac:dyDescent="0.2">
      <c r="A33" s="27"/>
      <c r="B33" s="21" t="s">
        <v>9</v>
      </c>
      <c r="C33">
        <v>92.962718823980623</v>
      </c>
      <c r="D33">
        <v>92.579235114490601</v>
      </c>
      <c r="E33">
        <v>91.736531746237702</v>
      </c>
      <c r="F33">
        <v>90.831074086569373</v>
      </c>
      <c r="G33">
        <v>86.960486970763881</v>
      </c>
      <c r="H33">
        <v>69.958056153888293</v>
      </c>
      <c r="I33" s="9">
        <v>54.800733570359597</v>
      </c>
      <c r="J33" s="66">
        <f t="shared" si="0"/>
        <v>235.005960626822</v>
      </c>
      <c r="L33" s="27"/>
      <c r="M33" s="21" t="s">
        <v>9</v>
      </c>
      <c r="N33">
        <v>3.553358547509589</v>
      </c>
      <c r="O33">
        <v>3.662068131482219</v>
      </c>
      <c r="P33">
        <v>4.032821683747013</v>
      </c>
      <c r="Q33">
        <v>3.6348682459522301</v>
      </c>
      <c r="R33">
        <v>5.3451431508529517</v>
      </c>
      <c r="S33">
        <v>8.3081066836923902</v>
      </c>
      <c r="T33" s="9">
        <v>7.8130971653945478</v>
      </c>
      <c r="U33" s="66">
        <f t="shared" si="1"/>
        <v>20.219948341776291</v>
      </c>
    </row>
    <row r="34" spans="1:21" x14ac:dyDescent="0.2">
      <c r="A34" s="27"/>
      <c r="B34" s="21" t="s">
        <v>10</v>
      </c>
      <c r="C34">
        <v>91.673641928851779</v>
      </c>
      <c r="D34">
        <v>91.867395046669955</v>
      </c>
      <c r="E34">
        <v>91.50381635365936</v>
      </c>
      <c r="F34">
        <v>91.379175713746079</v>
      </c>
      <c r="G34">
        <v>88.831829571766775</v>
      </c>
      <c r="H34">
        <v>70.023970795595105</v>
      </c>
      <c r="I34" s="9">
        <v>56.420684146633327</v>
      </c>
      <c r="J34" s="66">
        <f t="shared" si="0"/>
        <v>237.88491709126663</v>
      </c>
      <c r="L34" s="27"/>
      <c r="M34" s="21" t="s">
        <v>10</v>
      </c>
      <c r="N34">
        <v>4.0996055394193416</v>
      </c>
      <c r="O34">
        <v>3.9363678196477259</v>
      </c>
      <c r="P34">
        <v>4.4775085930829679</v>
      </c>
      <c r="Q34">
        <v>4.3467311762055054</v>
      </c>
      <c r="R34">
        <v>5.4186476543956417</v>
      </c>
      <c r="S34">
        <v>8.3279626177723625</v>
      </c>
      <c r="T34" s="9">
        <v>12.764011594024289</v>
      </c>
      <c r="U34" s="66">
        <f t="shared" si="1"/>
        <v>25.228403096155169</v>
      </c>
    </row>
    <row r="35" spans="1:21" x14ac:dyDescent="0.2">
      <c r="A35" s="27"/>
      <c r="B35" s="21" t="s">
        <v>11</v>
      </c>
      <c r="C35">
        <v>92.522198865618762</v>
      </c>
      <c r="D35">
        <v>92.258701776543617</v>
      </c>
      <c r="E35">
        <v>91.286063604933133</v>
      </c>
      <c r="F35">
        <v>87.347272323578352</v>
      </c>
      <c r="G35">
        <v>80.924079504724673</v>
      </c>
      <c r="H35">
        <v>68.770987061595122</v>
      </c>
      <c r="I35" s="9">
        <v>53.587911660135468</v>
      </c>
      <c r="J35" s="66">
        <f t="shared" si="0"/>
        <v>227.24684887700877</v>
      </c>
      <c r="L35" s="27"/>
      <c r="M35" s="21" t="s">
        <v>11</v>
      </c>
      <c r="N35">
        <v>4.1122508316799324</v>
      </c>
      <c r="O35">
        <v>3.9130111858628869</v>
      </c>
      <c r="P35">
        <v>4.1402320670424677</v>
      </c>
      <c r="Q35">
        <v>4.9319868448576356</v>
      </c>
      <c r="R35">
        <v>5.4027181636296984</v>
      </c>
      <c r="S35">
        <v>7.5963973372628857</v>
      </c>
      <c r="T35" s="9">
        <v>8.757832692110993</v>
      </c>
      <c r="U35" s="66">
        <f t="shared" si="1"/>
        <v>21.211060242393408</v>
      </c>
    </row>
    <row r="36" spans="1:21" x14ac:dyDescent="0.2">
      <c r="A36" s="27"/>
      <c r="B36" s="21" t="s">
        <v>12</v>
      </c>
      <c r="C36">
        <v>92.90466180503293</v>
      </c>
      <c r="D36">
        <v>92.576285261983244</v>
      </c>
      <c r="E36">
        <v>92.469101520486021</v>
      </c>
      <c r="F36">
        <v>90.667136682266573</v>
      </c>
      <c r="G36">
        <v>86.385868389864967</v>
      </c>
      <c r="H36">
        <v>70.341681156411397</v>
      </c>
      <c r="I36" s="9">
        <v>54.346721569102392</v>
      </c>
      <c r="J36" s="66">
        <f t="shared" si="0"/>
        <v>234.6418239056278</v>
      </c>
      <c r="L36" s="27"/>
      <c r="M36" s="21" t="s">
        <v>12</v>
      </c>
      <c r="N36">
        <v>3.576588513898638</v>
      </c>
      <c r="O36">
        <v>3.6384489067435961</v>
      </c>
      <c r="P36">
        <v>3.4880286605455821</v>
      </c>
      <c r="Q36">
        <v>3.9701665356541431</v>
      </c>
      <c r="R36">
        <v>5.5319131411834084</v>
      </c>
      <c r="S36">
        <v>7.9689437293106389</v>
      </c>
      <c r="T36" s="9">
        <v>7.6891218324711899</v>
      </c>
      <c r="U36" s="66">
        <f t="shared" si="1"/>
        <v>19.979493109182648</v>
      </c>
    </row>
    <row r="37" spans="1:21" ht="14.25" customHeight="1" thickBot="1" x14ac:dyDescent="0.25">
      <c r="A37" s="28"/>
      <c r="B37" s="22" t="s">
        <v>13</v>
      </c>
      <c r="C37" s="10">
        <v>92.532008639059754</v>
      </c>
      <c r="D37" s="10">
        <v>92.511359671508131</v>
      </c>
      <c r="E37" s="10">
        <v>92.431794392685063</v>
      </c>
      <c r="F37" s="10">
        <v>89.802189753659917</v>
      </c>
      <c r="G37" s="10">
        <v>84.27001963684809</v>
      </c>
      <c r="H37" s="10">
        <v>69.728111834877453</v>
      </c>
      <c r="I37" s="11">
        <v>54.61681617776393</v>
      </c>
      <c r="J37" s="66">
        <f t="shared" si="0"/>
        <v>232.59724131119933</v>
      </c>
      <c r="L37" s="28"/>
      <c r="M37" s="22" t="s">
        <v>13</v>
      </c>
      <c r="N37" s="10">
        <v>3.8648153044722311</v>
      </c>
      <c r="O37" s="10">
        <v>3.535077470212221</v>
      </c>
      <c r="P37" s="10">
        <v>3.6384347466350571</v>
      </c>
      <c r="Q37" s="10">
        <v>3.8089521492813971</v>
      </c>
      <c r="R37" s="10">
        <v>5.4822989134189646</v>
      </c>
      <c r="S37" s="10">
        <v>8.2183912200903393</v>
      </c>
      <c r="T37" s="11">
        <v>7.7989831950532231</v>
      </c>
      <c r="U37" s="66">
        <f t="shared" si="1"/>
        <v>20.20108810809176</v>
      </c>
    </row>
    <row r="38" spans="1:21" ht="14.25" customHeight="1" thickBot="1" x14ac:dyDescent="0.25">
      <c r="A38" s="3" t="s">
        <v>14</v>
      </c>
      <c r="B38" s="25" t="s">
        <v>17</v>
      </c>
      <c r="C38" s="18">
        <v>93.365954722791713</v>
      </c>
      <c r="D38" s="10">
        <v>92.953929820615514</v>
      </c>
      <c r="E38" s="10">
        <v>92.363177882161622</v>
      </c>
      <c r="F38" s="10">
        <v>90.139831082737146</v>
      </c>
      <c r="G38" s="10">
        <v>85.704671609039309</v>
      </c>
      <c r="H38" s="10">
        <v>70.630570622006516</v>
      </c>
      <c r="I38" s="11">
        <v>51.370542421070539</v>
      </c>
      <c r="J38" s="66">
        <f t="shared" si="0"/>
        <v>231.49259888349667</v>
      </c>
      <c r="L38" s="4" t="s">
        <v>14</v>
      </c>
      <c r="M38" s="23" t="s">
        <v>17</v>
      </c>
      <c r="N38" s="18">
        <v>3.6675181053903749</v>
      </c>
      <c r="O38" s="10">
        <v>3.953165926503563</v>
      </c>
      <c r="P38" s="10">
        <v>4.1014418287709162</v>
      </c>
      <c r="Q38" s="10">
        <v>4.4748820350339917</v>
      </c>
      <c r="R38" s="10">
        <v>5.9464430898845917</v>
      </c>
      <c r="S38" s="10">
        <v>9.9254293554512856</v>
      </c>
      <c r="T38" s="11">
        <v>9.3127481496540874</v>
      </c>
      <c r="U38" s="66">
        <f t="shared" si="1"/>
        <v>23.715202085270352</v>
      </c>
    </row>
    <row r="39" spans="1:21" ht="15" thickBot="1" x14ac:dyDescent="0.25">
      <c r="J39" s="66"/>
      <c r="U39" s="66"/>
    </row>
    <row r="40" spans="1:21" ht="15" thickBot="1" x14ac:dyDescent="0.25">
      <c r="A40" s="4" t="s">
        <v>3</v>
      </c>
      <c r="B40" s="6" t="s">
        <v>0</v>
      </c>
      <c r="C40" s="5">
        <v>1</v>
      </c>
      <c r="D40" s="5">
        <v>0.75</v>
      </c>
      <c r="E40" s="5">
        <v>0.5</v>
      </c>
      <c r="F40" s="5">
        <v>0.3</v>
      </c>
      <c r="G40" s="5">
        <v>0.2</v>
      </c>
      <c r="H40" s="5">
        <v>0.1</v>
      </c>
      <c r="I40" s="6">
        <v>0.05</v>
      </c>
      <c r="J40" s="66" t="s">
        <v>22</v>
      </c>
      <c r="L40" s="4" t="s">
        <v>5</v>
      </c>
      <c r="M40" s="6" t="s">
        <v>0</v>
      </c>
      <c r="N40" s="5">
        <v>1</v>
      </c>
      <c r="O40" s="5">
        <v>0.75</v>
      </c>
      <c r="P40" s="5">
        <v>0.5</v>
      </c>
      <c r="Q40" s="5">
        <v>0.3</v>
      </c>
      <c r="R40" s="5">
        <v>0.2</v>
      </c>
      <c r="S40" s="5">
        <v>0.1</v>
      </c>
      <c r="T40" s="6">
        <v>0.05</v>
      </c>
      <c r="U40" s="66" t="s">
        <v>22</v>
      </c>
    </row>
    <row r="41" spans="1:21" ht="15" thickBot="1" x14ac:dyDescent="0.25">
      <c r="A41" s="37" t="s">
        <v>1</v>
      </c>
      <c r="B41" s="38"/>
      <c r="C41" s="14">
        <v>92.567111769713335</v>
      </c>
      <c r="D41" s="14">
        <v>90.835858608343599</v>
      </c>
      <c r="E41" s="14">
        <v>89.217505339533233</v>
      </c>
      <c r="F41" s="14">
        <v>83.237245964288078</v>
      </c>
      <c r="G41" s="14">
        <v>75.380430844191011</v>
      </c>
      <c r="H41" s="14">
        <v>58.994367187597383</v>
      </c>
      <c r="I41" s="15">
        <v>43.622535641382179</v>
      </c>
      <c r="J41" s="66">
        <f t="shared" si="0"/>
        <v>204.1661195989895</v>
      </c>
      <c r="L41" s="37" t="s">
        <v>1</v>
      </c>
      <c r="M41" s="38"/>
      <c r="N41">
        <v>3.88093621561358</v>
      </c>
      <c r="O41">
        <v>4.8164746829677396</v>
      </c>
      <c r="P41">
        <v>5.2250608386616522</v>
      </c>
      <c r="Q41">
        <v>5.6675721086724113</v>
      </c>
      <c r="R41">
        <v>8.3263283482936075</v>
      </c>
      <c r="S41">
        <v>10.49020927094638</v>
      </c>
      <c r="T41" s="9">
        <v>11.060437347759546</v>
      </c>
      <c r="U41" s="66">
        <f t="shared" si="1"/>
        <v>28.192369569327848</v>
      </c>
    </row>
    <row r="42" spans="1:21" ht="15" thickBot="1" x14ac:dyDescent="0.25">
      <c r="A42" s="29" t="s">
        <v>20</v>
      </c>
      <c r="B42" s="30"/>
      <c r="C42" s="30"/>
      <c r="D42" s="30"/>
      <c r="E42" s="30"/>
      <c r="F42" s="30"/>
      <c r="G42" s="30"/>
      <c r="H42" s="30"/>
      <c r="I42" s="31"/>
      <c r="J42" s="66"/>
      <c r="L42" s="29" t="s">
        <v>20</v>
      </c>
      <c r="M42" s="30"/>
      <c r="N42" s="30"/>
      <c r="O42" s="30"/>
      <c r="P42" s="30"/>
      <c r="Q42" s="30"/>
      <c r="R42" s="30"/>
      <c r="S42" s="30"/>
      <c r="T42" s="31"/>
      <c r="U42" s="66"/>
    </row>
    <row r="43" spans="1:21" x14ac:dyDescent="0.2">
      <c r="A43" s="26" t="s">
        <v>6</v>
      </c>
      <c r="B43" s="7" t="s">
        <v>7</v>
      </c>
      <c r="C43" s="16">
        <v>92.820738792005557</v>
      </c>
      <c r="D43" s="12">
        <v>91.960076103634933</v>
      </c>
      <c r="E43" s="12">
        <v>90.623611228667414</v>
      </c>
      <c r="F43" s="12">
        <v>87.147401908523506</v>
      </c>
      <c r="G43" s="12">
        <v>80.684883446065982</v>
      </c>
      <c r="H43" s="12">
        <v>60.433547736945336</v>
      </c>
      <c r="I43" s="13">
        <v>47.513519633648883</v>
      </c>
      <c r="J43" s="66">
        <f t="shared" si="0"/>
        <v>214.57608504059661</v>
      </c>
      <c r="L43" s="29" t="s">
        <v>7</v>
      </c>
      <c r="M43" s="31"/>
      <c r="N43" s="16">
        <v>3.9832785287226642</v>
      </c>
      <c r="O43" s="12">
        <v>4.384481875563857</v>
      </c>
      <c r="P43" s="12">
        <v>4.3933682019589702</v>
      </c>
      <c r="Q43" s="12">
        <v>5.7258360206959802</v>
      </c>
      <c r="R43" s="12">
        <v>7.9571441032328494</v>
      </c>
      <c r="S43" s="12">
        <v>11.156546553337531</v>
      </c>
      <c r="T43" s="13">
        <v>9.8131707087901248</v>
      </c>
      <c r="U43" s="66">
        <f t="shared" si="1"/>
        <v>27.163793316809027</v>
      </c>
    </row>
    <row r="44" spans="1:21" x14ac:dyDescent="0.2">
      <c r="A44" s="27"/>
      <c r="B44" s="1" t="s">
        <v>8</v>
      </c>
      <c r="C44" s="17">
        <v>92.843284190023084</v>
      </c>
      <c r="D44">
        <v>91.856981164968985</v>
      </c>
      <c r="E44">
        <v>90.615255157299202</v>
      </c>
      <c r="F44">
        <v>87.929534075502005</v>
      </c>
      <c r="G44">
        <v>80.29266389685057</v>
      </c>
      <c r="H44">
        <v>61.564100332848938</v>
      </c>
      <c r="I44" s="9">
        <v>44.246012410890316</v>
      </c>
      <c r="J44" s="66">
        <f t="shared" si="0"/>
        <v>212.66659917355187</v>
      </c>
      <c r="L44" s="32" t="s">
        <v>8</v>
      </c>
      <c r="M44" s="33"/>
      <c r="N44" s="17">
        <v>4.2026089477592938</v>
      </c>
      <c r="O44">
        <v>4.7417739073745873</v>
      </c>
      <c r="P44">
        <v>4.6885884019912742</v>
      </c>
      <c r="Q44">
        <v>5.8474095435593307</v>
      </c>
      <c r="R44">
        <v>8.5718488634529457</v>
      </c>
      <c r="S44">
        <v>10.618665895845737</v>
      </c>
      <c r="T44" s="9">
        <v>9.9175631887140572</v>
      </c>
      <c r="U44" s="66">
        <f t="shared" si="1"/>
        <v>27.371442072112174</v>
      </c>
    </row>
    <row r="45" spans="1:21" x14ac:dyDescent="0.2">
      <c r="A45" s="27"/>
      <c r="B45" s="1" t="s">
        <v>9</v>
      </c>
      <c r="C45" s="17">
        <v>92.887247493957162</v>
      </c>
      <c r="D45">
        <v>92.526360568571377</v>
      </c>
      <c r="E45">
        <v>92.335985990442964</v>
      </c>
      <c r="F45">
        <v>91.21192788290432</v>
      </c>
      <c r="G45">
        <v>84.049989944177668</v>
      </c>
      <c r="H45">
        <v>57.414776662034065</v>
      </c>
      <c r="I45" s="9">
        <v>42.573458490480562</v>
      </c>
      <c r="J45" s="66">
        <f t="shared" si="0"/>
        <v>212.2812476439496</v>
      </c>
      <c r="L45" s="32" t="s">
        <v>9</v>
      </c>
      <c r="M45" s="33"/>
      <c r="N45" s="17">
        <v>4.0514903154179436</v>
      </c>
      <c r="O45">
        <v>3.9219831925012953</v>
      </c>
      <c r="P45">
        <v>4.2608980592918222</v>
      </c>
      <c r="Q45">
        <v>4.507750995529622</v>
      </c>
      <c r="R45">
        <v>6.950345110192127</v>
      </c>
      <c r="S45">
        <v>10.916767692216204</v>
      </c>
      <c r="T45" s="9">
        <v>8.7851414024966488</v>
      </c>
      <c r="U45" s="66">
        <f t="shared" si="1"/>
        <v>24.738539269135117</v>
      </c>
    </row>
    <row r="46" spans="1:21" x14ac:dyDescent="0.2">
      <c r="A46" s="27"/>
      <c r="B46" s="1" t="s">
        <v>10</v>
      </c>
      <c r="C46" s="17">
        <v>92.843190256650004</v>
      </c>
      <c r="D46">
        <v>92.587016305792119</v>
      </c>
      <c r="E46">
        <v>92.099608766333958</v>
      </c>
      <c r="F46">
        <v>90.524299230603347</v>
      </c>
      <c r="G46">
        <v>83.646426779948698</v>
      </c>
      <c r="H46">
        <v>60.416105838288168</v>
      </c>
      <c r="I46" s="9">
        <v>43.187380938017625</v>
      </c>
      <c r="J46" s="66">
        <f t="shared" si="0"/>
        <v>214.61586749843264</v>
      </c>
      <c r="L46" s="32" t="s">
        <v>10</v>
      </c>
      <c r="M46" s="33"/>
      <c r="N46" s="17">
        <v>3.6611286672079411</v>
      </c>
      <c r="O46">
        <v>3.8332247685167258</v>
      </c>
      <c r="P46">
        <v>4.0987820655435705</v>
      </c>
      <c r="Q46">
        <v>4.7008877850217017</v>
      </c>
      <c r="R46">
        <v>7.5205052811091608</v>
      </c>
      <c r="S46">
        <v>10.841519627091911</v>
      </c>
      <c r="T46" s="9">
        <v>7.8755871698222206</v>
      </c>
      <c r="U46" s="66">
        <f t="shared" si="1"/>
        <v>24.270178777697687</v>
      </c>
    </row>
    <row r="47" spans="1:21" x14ac:dyDescent="0.2">
      <c r="A47" s="27"/>
      <c r="B47" s="1" t="s">
        <v>11</v>
      </c>
      <c r="C47" s="17">
        <v>93.155419737732046</v>
      </c>
      <c r="D47">
        <v>92.891252101569421</v>
      </c>
      <c r="E47">
        <v>92.354820431535103</v>
      </c>
      <c r="F47">
        <v>89.262237664911709</v>
      </c>
      <c r="G47">
        <v>83.817415142302622</v>
      </c>
      <c r="H47">
        <v>62.583030132951436</v>
      </c>
      <c r="I47" s="9">
        <v>45.947582471767348</v>
      </c>
      <c r="J47" s="66">
        <f t="shared" si="0"/>
        <v>218.435998099573</v>
      </c>
      <c r="L47" s="32" t="s">
        <v>11</v>
      </c>
      <c r="M47" s="33"/>
      <c r="N47" s="17">
        <v>3.8707101747526216</v>
      </c>
      <c r="O47">
        <v>4.3079284051136435</v>
      </c>
      <c r="P47">
        <v>4.4205356766114763</v>
      </c>
      <c r="Q47">
        <v>5.3097950223237715</v>
      </c>
      <c r="R47">
        <v>6.7759657284130972</v>
      </c>
      <c r="S47">
        <v>11.798403704025185</v>
      </c>
      <c r="T47" s="9">
        <v>11.537198624213495</v>
      </c>
      <c r="U47" s="66">
        <f t="shared" si="1"/>
        <v>28.281825830208582</v>
      </c>
    </row>
    <row r="48" spans="1:21" x14ac:dyDescent="0.2">
      <c r="A48" s="27"/>
      <c r="B48" s="1" t="s">
        <v>12</v>
      </c>
      <c r="C48" s="17">
        <v>92.821279056315362</v>
      </c>
      <c r="D48">
        <v>92.733480621303571</v>
      </c>
      <c r="E48">
        <v>92.203500219400965</v>
      </c>
      <c r="F48">
        <v>91.071302925601856</v>
      </c>
      <c r="G48">
        <v>85.612815475594061</v>
      </c>
      <c r="H48">
        <v>58.992680230672832</v>
      </c>
      <c r="I48" s="9">
        <v>41.120411442431482</v>
      </c>
      <c r="J48" s="66">
        <f t="shared" si="0"/>
        <v>213.15910024524624</v>
      </c>
      <c r="L48" s="32" t="s">
        <v>12</v>
      </c>
      <c r="M48" s="33"/>
      <c r="N48" s="17">
        <v>3.654167143417371</v>
      </c>
      <c r="O48">
        <v>3.872585567952481</v>
      </c>
      <c r="P48">
        <v>4.0466276106990549</v>
      </c>
      <c r="Q48">
        <v>4.8526676778723434</v>
      </c>
      <c r="R48">
        <v>6.1913517121362496</v>
      </c>
      <c r="S48">
        <v>10.091912686159521</v>
      </c>
      <c r="T48" s="9">
        <v>8.6002766636911474</v>
      </c>
      <c r="U48" s="66">
        <f t="shared" si="1"/>
        <v>23.530164723366916</v>
      </c>
    </row>
    <row r="49" spans="1:21" ht="15" thickBot="1" x14ac:dyDescent="0.25">
      <c r="A49" s="28"/>
      <c r="B49" s="3" t="s">
        <v>13</v>
      </c>
      <c r="C49" s="18">
        <v>93.243833233650619</v>
      </c>
      <c r="D49" s="10">
        <v>92.244152662300351</v>
      </c>
      <c r="E49" s="10">
        <v>91.779399224683033</v>
      </c>
      <c r="F49" s="10">
        <v>88.942376530063612</v>
      </c>
      <c r="G49" s="10">
        <v>84.074415427072154</v>
      </c>
      <c r="H49" s="10">
        <v>63.593677785045287</v>
      </c>
      <c r="I49" s="11">
        <v>48.08806242697684</v>
      </c>
      <c r="J49" s="66">
        <f t="shared" si="0"/>
        <v>221.00985506685515</v>
      </c>
      <c r="L49" s="37" t="s">
        <v>13</v>
      </c>
      <c r="M49" s="38"/>
      <c r="N49" s="18">
        <v>3.8779021026816878</v>
      </c>
      <c r="O49" s="10">
        <v>5.459933038676585</v>
      </c>
      <c r="P49" s="10">
        <v>4.314698164495594</v>
      </c>
      <c r="Q49" s="10">
        <v>5.2914242658912007</v>
      </c>
      <c r="R49" s="10">
        <v>7.0686449776166889</v>
      </c>
      <c r="S49" s="10">
        <v>12.320009696250258</v>
      </c>
      <c r="T49" s="11">
        <v>10.2959016132948</v>
      </c>
      <c r="U49" s="66">
        <f t="shared" si="1"/>
        <v>27.807910091963823</v>
      </c>
    </row>
    <row r="50" spans="1:21" ht="15" thickBot="1" x14ac:dyDescent="0.25">
      <c r="A50" s="4" t="s">
        <v>14</v>
      </c>
      <c r="B50" s="24" t="s">
        <v>15</v>
      </c>
      <c r="C50" s="16">
        <v>92.642127236498098</v>
      </c>
      <c r="D50" s="12">
        <v>91.04461239289904</v>
      </c>
      <c r="E50" s="12">
        <v>89.434796049812732</v>
      </c>
      <c r="F50" s="12">
        <v>85.354372724147197</v>
      </c>
      <c r="G50" s="12">
        <v>80.030044950169284</v>
      </c>
      <c r="H50" s="12">
        <v>63.507304479546157</v>
      </c>
      <c r="I50" s="13">
        <v>44.95687425047484</v>
      </c>
      <c r="J50" s="66">
        <f t="shared" si="0"/>
        <v>213.10635432943576</v>
      </c>
      <c r="L50" s="4" t="s">
        <v>14</v>
      </c>
      <c r="M50" s="24" t="s">
        <v>15</v>
      </c>
      <c r="N50" s="16">
        <v>4.1195158215033718</v>
      </c>
      <c r="O50" s="12">
        <v>4.4343471318077929</v>
      </c>
      <c r="P50" s="12">
        <v>5.7830468704553457</v>
      </c>
      <c r="Q50" s="12">
        <v>5.0998556431996933</v>
      </c>
      <c r="R50" s="12">
        <v>6.7676736054577464</v>
      </c>
      <c r="S50" s="12">
        <v>9.7329969682947457</v>
      </c>
      <c r="T50" s="13">
        <v>10.28042620138169</v>
      </c>
      <c r="U50" s="66">
        <f t="shared" si="1"/>
        <v>25.714960977078352</v>
      </c>
    </row>
    <row r="51" spans="1:21" ht="15" thickBot="1" x14ac:dyDescent="0.25">
      <c r="A51" s="29" t="s">
        <v>21</v>
      </c>
      <c r="B51" s="30"/>
      <c r="C51" s="30"/>
      <c r="D51" s="30"/>
      <c r="E51" s="30"/>
      <c r="F51" s="30"/>
      <c r="G51" s="30"/>
      <c r="H51" s="30"/>
      <c r="I51" s="31"/>
      <c r="J51" s="66"/>
      <c r="L51" s="29" t="s">
        <v>21</v>
      </c>
      <c r="M51" s="30"/>
      <c r="N51" s="30"/>
      <c r="O51" s="30"/>
      <c r="P51" s="30"/>
      <c r="Q51" s="30"/>
      <c r="R51" s="30"/>
      <c r="S51" s="30"/>
      <c r="T51" s="31"/>
      <c r="U51" s="66"/>
    </row>
    <row r="52" spans="1:21" x14ac:dyDescent="0.2">
      <c r="A52" s="26" t="s">
        <v>6</v>
      </c>
      <c r="B52" s="7" t="s">
        <v>7</v>
      </c>
      <c r="C52" s="56">
        <v>92.996327363759804</v>
      </c>
      <c r="D52" s="52">
        <v>92.301622441172213</v>
      </c>
      <c r="E52" s="52">
        <v>90.450037362055895</v>
      </c>
      <c r="F52" s="52">
        <v>86.528662460331191</v>
      </c>
      <c r="G52" s="52">
        <v>80.628431534303374</v>
      </c>
      <c r="H52" s="52">
        <v>55.988448123037081</v>
      </c>
      <c r="I52" s="53">
        <v>42.664504625298314</v>
      </c>
      <c r="J52" s="66">
        <f t="shared" si="0"/>
        <v>206.23795993459544</v>
      </c>
      <c r="L52" s="26" t="s">
        <v>6</v>
      </c>
      <c r="M52" s="7" t="s">
        <v>7</v>
      </c>
      <c r="N52" s="56">
        <v>3.9202767627815098</v>
      </c>
      <c r="O52" s="52">
        <v>4.4212984103075215</v>
      </c>
      <c r="P52" s="52">
        <v>5.1028999558878452</v>
      </c>
      <c r="Q52" s="52">
        <v>5.7444591041757631</v>
      </c>
      <c r="R52" s="52">
        <v>8.5864286808486394</v>
      </c>
      <c r="S52" s="52">
        <v>11.376613215766501</v>
      </c>
      <c r="T52" s="53">
        <v>10.33777387111607</v>
      </c>
      <c r="U52" s="66">
        <f t="shared" si="1"/>
        <v>28.407053079858557</v>
      </c>
    </row>
    <row r="53" spans="1:21" x14ac:dyDescent="0.2">
      <c r="A53" s="27"/>
      <c r="B53" s="1" t="s">
        <v>8</v>
      </c>
      <c r="C53" s="57">
        <v>92.806174082145404</v>
      </c>
      <c r="D53" s="39">
        <v>92.183262988210288</v>
      </c>
      <c r="E53" s="39">
        <v>90.872518048813646</v>
      </c>
      <c r="F53" s="39">
        <v>87.444941976160734</v>
      </c>
      <c r="G53" s="39">
        <v>82.044597034701937</v>
      </c>
      <c r="H53" s="39">
        <v>54.172065623234921</v>
      </c>
      <c r="I53" s="49">
        <v>43.506171509195866</v>
      </c>
      <c r="J53" s="66">
        <f t="shared" si="0"/>
        <v>206.97984006136409</v>
      </c>
      <c r="L53" s="27"/>
      <c r="M53" s="1" t="s">
        <v>8</v>
      </c>
      <c r="N53" s="57">
        <v>3.9563320099240067</v>
      </c>
      <c r="O53" s="39">
        <v>4.2450584690029149</v>
      </c>
      <c r="P53" s="39">
        <v>4.8020900987918749</v>
      </c>
      <c r="Q53" s="39">
        <v>5.6199150222860785</v>
      </c>
      <c r="R53" s="39">
        <v>7.3343091086222865</v>
      </c>
      <c r="S53" s="39">
        <v>11.293727882645991</v>
      </c>
      <c r="T53" s="49">
        <v>10.89356356003875</v>
      </c>
      <c r="U53" s="66">
        <f t="shared" si="1"/>
        <v>27.892915567327318</v>
      </c>
    </row>
    <row r="54" spans="1:21" x14ac:dyDescent="0.2">
      <c r="A54" s="27"/>
      <c r="B54" s="1" t="s">
        <v>9</v>
      </c>
      <c r="C54" s="57">
        <v>92.790785534388704</v>
      </c>
      <c r="D54" s="39">
        <v>91.893728454106352</v>
      </c>
      <c r="E54" s="39">
        <v>90.562770350377818</v>
      </c>
      <c r="F54" s="39">
        <v>88.112049423797217</v>
      </c>
      <c r="G54" s="39">
        <v>78.352113903508553</v>
      </c>
      <c r="H54" s="39">
        <v>55.292786489377335</v>
      </c>
      <c r="I54" s="49">
        <v>44.2313404874307</v>
      </c>
      <c r="J54" s="66">
        <f t="shared" si="0"/>
        <v>206.41024957818405</v>
      </c>
      <c r="L54" s="27"/>
      <c r="M54" s="1" t="s">
        <v>9</v>
      </c>
      <c r="N54" s="57">
        <v>4.1716593446176429</v>
      </c>
      <c r="O54" s="39">
        <v>4.4631374978041922</v>
      </c>
      <c r="P54" s="39">
        <v>5.2695453871044089</v>
      </c>
      <c r="Q54" s="39">
        <v>5.2805043459958263</v>
      </c>
      <c r="R54" s="39">
        <v>7.8923327457706414</v>
      </c>
      <c r="S54" s="39">
        <v>11.7570183575573</v>
      </c>
      <c r="T54" s="49">
        <v>9.8609211315465455</v>
      </c>
      <c r="U54" s="66">
        <f t="shared" si="1"/>
        <v>27.657538718062199</v>
      </c>
    </row>
    <row r="55" spans="1:21" x14ac:dyDescent="0.2">
      <c r="A55" s="27"/>
      <c r="B55" s="1" t="s">
        <v>10</v>
      </c>
      <c r="C55" s="57">
        <v>92.717785396360057</v>
      </c>
      <c r="D55" s="39">
        <v>92.09860162174796</v>
      </c>
      <c r="E55" s="39">
        <v>90.984716140230944</v>
      </c>
      <c r="F55" s="39">
        <v>87.523225425324867</v>
      </c>
      <c r="G55" s="39">
        <v>80.615377410921539</v>
      </c>
      <c r="H55" s="39">
        <v>56.221704082202187</v>
      </c>
      <c r="I55" s="49">
        <v>45.605378725028537</v>
      </c>
      <c r="J55" s="66">
        <f t="shared" si="0"/>
        <v>209.68099824373797</v>
      </c>
      <c r="L55" s="27"/>
      <c r="M55" s="1" t="s">
        <v>10</v>
      </c>
      <c r="N55" s="57">
        <v>4.2138317027991681</v>
      </c>
      <c r="O55" s="39">
        <v>4.4217065698368652</v>
      </c>
      <c r="P55" s="39">
        <v>4.8396511814357277</v>
      </c>
      <c r="Q55" s="39">
        <v>5.6070321128975751</v>
      </c>
      <c r="R55" s="39">
        <v>8.2479087824744273</v>
      </c>
      <c r="S55" s="39">
        <v>9.6343539229614006</v>
      </c>
      <c r="T55" s="49">
        <v>10.439259830611739</v>
      </c>
      <c r="U55" s="66">
        <f t="shared" si="1"/>
        <v>26.737635486803011</v>
      </c>
    </row>
    <row r="56" spans="1:21" x14ac:dyDescent="0.2">
      <c r="A56" s="27"/>
      <c r="B56" s="1" t="s">
        <v>11</v>
      </c>
      <c r="C56" s="57">
        <v>92.782822520728985</v>
      </c>
      <c r="D56" s="39">
        <v>92.082841943938448</v>
      </c>
      <c r="E56" s="39">
        <v>90.352455851929179</v>
      </c>
      <c r="F56" s="39">
        <v>87.515644722307755</v>
      </c>
      <c r="G56" s="39">
        <v>78.501972477096203</v>
      </c>
      <c r="H56" s="39">
        <v>55.514608419774767</v>
      </c>
      <c r="I56" s="49">
        <v>43.444530870514619</v>
      </c>
      <c r="J56" s="66">
        <f t="shared" si="0"/>
        <v>205.64274181440783</v>
      </c>
      <c r="L56" s="27"/>
      <c r="M56" s="1" t="s">
        <v>11</v>
      </c>
      <c r="N56" s="57">
        <v>4.1139482260864915</v>
      </c>
      <c r="O56" s="39">
        <v>4.4896868076411396</v>
      </c>
      <c r="P56" s="39">
        <v>4.8024622150411229</v>
      </c>
      <c r="Q56" s="39">
        <v>6.1080424858049849</v>
      </c>
      <c r="R56" s="39">
        <v>8.0689859997248501</v>
      </c>
      <c r="S56" s="39">
        <v>10.862344125117151</v>
      </c>
      <c r="T56" s="49">
        <v>10.76110152576257</v>
      </c>
      <c r="U56" s="66">
        <f t="shared" si="1"/>
        <v>28.14870570545181</v>
      </c>
    </row>
    <row r="57" spans="1:21" x14ac:dyDescent="0.2">
      <c r="A57" s="27"/>
      <c r="B57" s="1" t="s">
        <v>12</v>
      </c>
      <c r="C57" s="57">
        <v>92.665606050680012</v>
      </c>
      <c r="D57" s="39">
        <v>92.323307710843267</v>
      </c>
      <c r="E57" s="39">
        <v>90.969740079274828</v>
      </c>
      <c r="F57" s="39">
        <v>87.395956357895713</v>
      </c>
      <c r="G57" s="39">
        <v>81.094481876906926</v>
      </c>
      <c r="H57" s="39">
        <v>54.7154578964292</v>
      </c>
      <c r="I57" s="49">
        <v>43.624018822017327</v>
      </c>
      <c r="J57" s="66">
        <f t="shared" si="0"/>
        <v>206.92732665131405</v>
      </c>
      <c r="L57" s="27"/>
      <c r="M57" s="1" t="s">
        <v>12</v>
      </c>
      <c r="N57" s="57">
        <v>4.0618131112183367</v>
      </c>
      <c r="O57" s="39">
        <v>4.4540595011634556</v>
      </c>
      <c r="P57" s="39">
        <v>4.7844617366321849</v>
      </c>
      <c r="Q57" s="39">
        <v>5.8053483816492397</v>
      </c>
      <c r="R57" s="39">
        <v>7.0412145531061645</v>
      </c>
      <c r="S57" s="39">
        <v>11.14641784757211</v>
      </c>
      <c r="T57" s="49">
        <v>10.647536369628261</v>
      </c>
      <c r="U57" s="66">
        <f t="shared" si="1"/>
        <v>27.463492204099751</v>
      </c>
    </row>
    <row r="58" spans="1:21" ht="15" thickBot="1" x14ac:dyDescent="0.25">
      <c r="A58" s="28"/>
      <c r="B58" s="3" t="s">
        <v>13</v>
      </c>
      <c r="C58" s="58">
        <v>93.013954798511762</v>
      </c>
      <c r="D58" s="50">
        <v>92.553761633967341</v>
      </c>
      <c r="E58" s="50">
        <v>90.570755627543377</v>
      </c>
      <c r="F58" s="50">
        <v>87.869836264830809</v>
      </c>
      <c r="G58" s="50">
        <v>80.806480709504783</v>
      </c>
      <c r="H58" s="50">
        <v>56.648777018117315</v>
      </c>
      <c r="I58" s="51">
        <v>44.211854805928716</v>
      </c>
      <c r="J58" s="66">
        <f t="shared" si="0"/>
        <v>208.98637477988464</v>
      </c>
      <c r="L58" s="28"/>
      <c r="M58" s="3" t="s">
        <v>13</v>
      </c>
      <c r="N58" s="58">
        <v>3.945282447164729</v>
      </c>
      <c r="O58" s="50">
        <v>4.2050482780753251</v>
      </c>
      <c r="P58" s="50">
        <v>5.0606691512267199</v>
      </c>
      <c r="Q58" s="50">
        <v>5.6074024469430217</v>
      </c>
      <c r="R58" s="50">
        <v>7.6245189571801237</v>
      </c>
      <c r="S58" s="50">
        <v>11.05887943104131</v>
      </c>
      <c r="T58" s="51">
        <v>10.770962550772319</v>
      </c>
      <c r="U58" s="66">
        <f t="shared" si="1"/>
        <v>27.833788177999224</v>
      </c>
    </row>
    <row r="59" spans="1:21" ht="15" thickBot="1" x14ac:dyDescent="0.25">
      <c r="A59" s="4" t="s">
        <v>14</v>
      </c>
      <c r="B59" s="23" t="s">
        <v>17</v>
      </c>
      <c r="C59" s="18">
        <v>92.975071912418201</v>
      </c>
      <c r="D59" s="10">
        <v>92.482655480114417</v>
      </c>
      <c r="E59" s="10">
        <v>91.947118259611926</v>
      </c>
      <c r="F59" s="10">
        <v>89.588706846116352</v>
      </c>
      <c r="G59" s="10">
        <v>85.165438929554142</v>
      </c>
      <c r="H59" s="10">
        <v>69.625673799562222</v>
      </c>
      <c r="I59" s="11">
        <v>45.575943710882733</v>
      </c>
      <c r="J59" s="66">
        <f t="shared" si="0"/>
        <v>224.70037777863885</v>
      </c>
      <c r="L59" s="4" t="s">
        <v>14</v>
      </c>
      <c r="M59" s="23" t="s">
        <v>17</v>
      </c>
      <c r="N59" s="18">
        <v>4.0214791322193637</v>
      </c>
      <c r="O59" s="10">
        <v>4.3522992567212775</v>
      </c>
      <c r="P59" s="10">
        <v>4.4820499145717267</v>
      </c>
      <c r="Q59" s="10">
        <v>4.8870823953070817</v>
      </c>
      <c r="R59" s="10">
        <v>6.2067997320749191</v>
      </c>
      <c r="S59" s="10">
        <v>10.534977026910749</v>
      </c>
      <c r="T59" s="11">
        <v>11.21955342401594</v>
      </c>
      <c r="U59" s="66">
        <f t="shared" si="1"/>
        <v>26.418531741388524</v>
      </c>
    </row>
    <row r="60" spans="1:21" ht="15" thickBot="1" x14ac:dyDescent="0.25">
      <c r="A60" s="29" t="s">
        <v>18</v>
      </c>
      <c r="B60" s="30"/>
      <c r="C60" s="30"/>
      <c r="D60" s="30"/>
      <c r="E60" s="30"/>
      <c r="F60" s="30"/>
      <c r="G60" s="30"/>
      <c r="H60" s="30"/>
      <c r="I60" s="31"/>
      <c r="J60" s="66"/>
      <c r="L60" s="29" t="s">
        <v>18</v>
      </c>
      <c r="M60" s="30"/>
      <c r="N60" s="30"/>
      <c r="O60" s="30"/>
      <c r="P60" s="30"/>
      <c r="Q60" s="30"/>
      <c r="R60" s="30"/>
      <c r="S60" s="30"/>
      <c r="T60" s="31"/>
      <c r="U60" s="66"/>
    </row>
    <row r="61" spans="1:21" x14ac:dyDescent="0.2">
      <c r="A61" s="26" t="s">
        <v>6</v>
      </c>
      <c r="B61" s="7" t="s">
        <v>7</v>
      </c>
      <c r="C61" s="16">
        <v>92.210796787078181</v>
      </c>
      <c r="D61" s="12">
        <v>92.232068211571814</v>
      </c>
      <c r="E61" s="12">
        <v>91.86759761547799</v>
      </c>
      <c r="F61" s="12">
        <v>87.883932261788729</v>
      </c>
      <c r="G61" s="12">
        <v>81.779712125604163</v>
      </c>
      <c r="H61" s="12">
        <v>59.618797334486786</v>
      </c>
      <c r="I61" s="13">
        <v>42.527340224981117</v>
      </c>
      <c r="J61" s="66">
        <f t="shared" si="0"/>
        <v>210.80569662973565</v>
      </c>
      <c r="L61" s="29" t="s">
        <v>7</v>
      </c>
      <c r="M61" s="31"/>
      <c r="N61" s="16">
        <v>4.4450832846781649</v>
      </c>
      <c r="O61" s="12">
        <v>4.116293582572319</v>
      </c>
      <c r="P61" s="12">
        <v>4.1810668553548487</v>
      </c>
      <c r="Q61" s="12">
        <v>5.4365068695388663</v>
      </c>
      <c r="R61" s="12">
        <v>7.1320579949253604</v>
      </c>
      <c r="S61" s="12">
        <v>10.6886917817603</v>
      </c>
      <c r="T61" s="13">
        <v>6.6771642066669674</v>
      </c>
      <c r="U61" s="66">
        <f t="shared" si="1"/>
        <v>23.214921585318535</v>
      </c>
    </row>
    <row r="62" spans="1:21" x14ac:dyDescent="0.2">
      <c r="A62" s="27"/>
      <c r="B62" s="1" t="s">
        <v>8</v>
      </c>
      <c r="C62" s="17">
        <v>92.55055660491692</v>
      </c>
      <c r="D62">
        <v>92.144546271159584</v>
      </c>
      <c r="E62">
        <v>91.691634673040241</v>
      </c>
      <c r="F62">
        <v>88.758754433087475</v>
      </c>
      <c r="G62">
        <v>80.276440884504424</v>
      </c>
      <c r="H62">
        <v>62.255811113687109</v>
      </c>
      <c r="I62" s="9">
        <v>44.143379822203585</v>
      </c>
      <c r="J62" s="66">
        <f t="shared" si="0"/>
        <v>213.81726194012853</v>
      </c>
      <c r="L62" s="32" t="s">
        <v>8</v>
      </c>
      <c r="M62" s="33"/>
      <c r="N62" s="17">
        <v>4.0429382739954489</v>
      </c>
      <c r="O62">
        <v>3.999526648724494</v>
      </c>
      <c r="P62">
        <v>4.3023070054466315</v>
      </c>
      <c r="Q62">
        <v>5.2690630035803272</v>
      </c>
      <c r="R62">
        <v>6.7894228805093011</v>
      </c>
      <c r="S62">
        <v>10.451824361008761</v>
      </c>
      <c r="T62" s="9">
        <v>10.231701580318129</v>
      </c>
      <c r="U62" s="66">
        <f t="shared" si="1"/>
        <v>25.952707090841457</v>
      </c>
    </row>
    <row r="63" spans="1:21" x14ac:dyDescent="0.2">
      <c r="A63" s="27"/>
      <c r="B63" s="1" t="s">
        <v>9</v>
      </c>
      <c r="C63" s="17">
        <v>92.615828536594833</v>
      </c>
      <c r="D63">
        <v>92.336561395590877</v>
      </c>
      <c r="E63">
        <v>91.799641902933999</v>
      </c>
      <c r="F63">
        <v>89.344749414314435</v>
      </c>
      <c r="G63">
        <v>80.619112622405808</v>
      </c>
      <c r="H63">
        <v>63.739885414302044</v>
      </c>
      <c r="I63" s="9">
        <v>44.551909427915696</v>
      </c>
      <c r="J63" s="66">
        <f t="shared" si="0"/>
        <v>215.93351029859031</v>
      </c>
      <c r="L63" s="32" t="s">
        <v>9</v>
      </c>
      <c r="M63" s="33"/>
      <c r="N63" s="17">
        <v>3.7675933544079743</v>
      </c>
      <c r="O63">
        <v>3.9052476815544095</v>
      </c>
      <c r="P63">
        <v>4.4997444135122135</v>
      </c>
      <c r="Q63">
        <v>4.3082118863212466</v>
      </c>
      <c r="R63">
        <v>7.4069169954835896</v>
      </c>
      <c r="S63">
        <v>9.6473074145591937</v>
      </c>
      <c r="T63" s="9">
        <v>6.3185752233413011</v>
      </c>
      <c r="U63" s="66">
        <f t="shared" si="1"/>
        <v>21.737297929740585</v>
      </c>
    </row>
    <row r="64" spans="1:21" x14ac:dyDescent="0.2">
      <c r="A64" s="27"/>
      <c r="B64" s="1" t="s">
        <v>10</v>
      </c>
      <c r="C64" s="17">
        <v>92.281505832546671</v>
      </c>
      <c r="D64">
        <v>92.114629667536249</v>
      </c>
      <c r="E64">
        <v>90.911927279299746</v>
      </c>
      <c r="F64">
        <v>86.351106229037114</v>
      </c>
      <c r="G64">
        <v>79.347871599627084</v>
      </c>
      <c r="H64">
        <v>60.729154826002606</v>
      </c>
      <c r="I64" s="9">
        <v>43.226456641808248</v>
      </c>
      <c r="J64" s="66">
        <f t="shared" si="0"/>
        <v>209.78231857832952</v>
      </c>
      <c r="L64" s="32" t="s">
        <v>10</v>
      </c>
      <c r="M64" s="33"/>
      <c r="N64" s="17">
        <v>4.3066167609855039</v>
      </c>
      <c r="O64">
        <v>4.0092223516442935</v>
      </c>
      <c r="P64">
        <v>4.4603505253181099</v>
      </c>
      <c r="Q64">
        <v>5.0624606614694638</v>
      </c>
      <c r="R64">
        <v>7.8726785813813995</v>
      </c>
      <c r="S64">
        <v>12.083989893003929</v>
      </c>
      <c r="T64" s="9">
        <v>6.9815368392777781</v>
      </c>
      <c r="U64" s="66">
        <f t="shared" si="1"/>
        <v>24.973652855292805</v>
      </c>
    </row>
    <row r="65" spans="1:21" x14ac:dyDescent="0.2">
      <c r="A65" s="27"/>
      <c r="B65" s="1" t="s">
        <v>11</v>
      </c>
      <c r="C65" s="17">
        <v>92.456348144618929</v>
      </c>
      <c r="D65">
        <v>92.308289553988772</v>
      </c>
      <c r="E65">
        <v>91.318341560219068</v>
      </c>
      <c r="F65">
        <v>89.158205463773825</v>
      </c>
      <c r="G65">
        <v>80.487292293330981</v>
      </c>
      <c r="H65">
        <v>62.60857001272143</v>
      </c>
      <c r="I65" s="9">
        <v>43.362215739127002</v>
      </c>
      <c r="J65" s="66">
        <f t="shared" si="0"/>
        <v>213.64558264702654</v>
      </c>
      <c r="L65" s="32" t="s">
        <v>11</v>
      </c>
      <c r="M65" s="33"/>
      <c r="N65" s="17">
        <v>3.9637192903170977</v>
      </c>
      <c r="O65">
        <v>4.220960975115724</v>
      </c>
      <c r="P65">
        <v>4.1560527820063031</v>
      </c>
      <c r="Q65">
        <v>4.7986834489906629</v>
      </c>
      <c r="R65">
        <v>7.2504863101971422</v>
      </c>
      <c r="S65">
        <v>10.858171337917991</v>
      </c>
      <c r="T65" s="9">
        <v>9.179595515606092</v>
      </c>
      <c r="U65" s="66">
        <f t="shared" si="1"/>
        <v>25.374193121525977</v>
      </c>
    </row>
    <row r="66" spans="1:21" x14ac:dyDescent="0.2">
      <c r="A66" s="27"/>
      <c r="B66" s="1" t="s">
        <v>12</v>
      </c>
      <c r="C66" s="17">
        <v>92.316674650095194</v>
      </c>
      <c r="D66">
        <v>91.947277208187884</v>
      </c>
      <c r="E66">
        <v>91.311437658313338</v>
      </c>
      <c r="F66">
        <v>88.872376462035973</v>
      </c>
      <c r="G66">
        <v>80.991933586987471</v>
      </c>
      <c r="H66">
        <v>64.168978104151151</v>
      </c>
      <c r="I66" s="9">
        <v>44.334614183277807</v>
      </c>
      <c r="J66" s="66">
        <f t="shared" si="0"/>
        <v>215.94572776693036</v>
      </c>
      <c r="L66" s="32" t="s">
        <v>12</v>
      </c>
      <c r="M66" s="33"/>
      <c r="N66" s="17">
        <v>3.9757261311573728</v>
      </c>
      <c r="O66">
        <v>4.2251183923810522</v>
      </c>
      <c r="P66">
        <v>4.6151327632567396</v>
      </c>
      <c r="Q66">
        <v>5.1657465893420742</v>
      </c>
      <c r="R66">
        <v>7.2628537539706564</v>
      </c>
      <c r="S66">
        <v>9.1185651295377728</v>
      </c>
      <c r="T66" s="9">
        <v>5.8033564545682346</v>
      </c>
      <c r="U66" s="66">
        <f t="shared" si="1"/>
        <v>21.220862276830264</v>
      </c>
    </row>
    <row r="67" spans="1:21" ht="15" thickBot="1" x14ac:dyDescent="0.25">
      <c r="A67" s="28"/>
      <c r="B67" s="3" t="s">
        <v>13</v>
      </c>
      <c r="C67" s="18">
        <v>92.767343898309505</v>
      </c>
      <c r="D67" s="10">
        <v>92.139522917653409</v>
      </c>
      <c r="E67" s="10">
        <v>91.825141762979214</v>
      </c>
      <c r="F67" s="10">
        <v>88.706762654713955</v>
      </c>
      <c r="G67" s="10">
        <v>80.338441372182302</v>
      </c>
      <c r="H67" s="10">
        <v>62.339116145936316</v>
      </c>
      <c r="I67" s="11">
        <v>44.039375815484497</v>
      </c>
      <c r="J67" s="66">
        <f t="shared" ref="J67:J77" si="2">C67*(1-1)^2+D67*(1-0.75)^2+E67*(1-0.5)^2+F67*(1-0.3)^2+G67*(1-0.2)^2+H67*(1-0.1)^2+I67*(1-0.05)^2</f>
        <v>213.83814255378786</v>
      </c>
      <c r="L67" s="37" t="s">
        <v>13</v>
      </c>
      <c r="M67" s="38"/>
      <c r="N67" s="17">
        <v>3.7783167287390298</v>
      </c>
      <c r="O67">
        <v>4.470297412149594</v>
      </c>
      <c r="P67">
        <v>4.7640748750551856</v>
      </c>
      <c r="Q67">
        <v>5.0758278520738793</v>
      </c>
      <c r="R67">
        <v>7.0179178130959476</v>
      </c>
      <c r="S67">
        <v>10.560830145501809</v>
      </c>
      <c r="T67" s="9">
        <v>8.9688781966672266</v>
      </c>
      <c r="U67" s="66">
        <f t="shared" si="1"/>
        <v>25.097720345269391</v>
      </c>
    </row>
    <row r="68" spans="1:21" ht="14.25" customHeight="1" thickBot="1" x14ac:dyDescent="0.25">
      <c r="A68" s="4" t="s">
        <v>14</v>
      </c>
      <c r="B68" s="24" t="s">
        <v>15</v>
      </c>
      <c r="C68" s="16">
        <v>92.642127236498098</v>
      </c>
      <c r="D68" s="12">
        <v>91.04461239289904</v>
      </c>
      <c r="E68" s="12">
        <v>89.434796049812732</v>
      </c>
      <c r="F68" s="12">
        <v>85.354372724147197</v>
      </c>
      <c r="G68" s="12">
        <v>80.030044950169284</v>
      </c>
      <c r="H68" s="12">
        <v>63.507304479546157</v>
      </c>
      <c r="I68" s="13">
        <v>44.95687425047484</v>
      </c>
      <c r="J68" s="66">
        <f t="shared" si="2"/>
        <v>213.10635432943576</v>
      </c>
      <c r="L68" s="4" t="s">
        <v>14</v>
      </c>
      <c r="M68" s="24" t="s">
        <v>15</v>
      </c>
      <c r="N68" s="16">
        <v>4.1195158215033718</v>
      </c>
      <c r="O68" s="12">
        <v>4.4343471318077929</v>
      </c>
      <c r="P68" s="12">
        <v>5.7830468704553457</v>
      </c>
      <c r="Q68" s="12">
        <v>5.0998556431996933</v>
      </c>
      <c r="R68" s="12">
        <v>6.7676736054577464</v>
      </c>
      <c r="S68" s="12">
        <v>9.7329969682947457</v>
      </c>
      <c r="T68" s="13">
        <v>10.28042620138169</v>
      </c>
      <c r="U68" s="66">
        <f t="shared" ref="U68:U77" si="3">N68*(1-1)^2+O68*(1-0.75)^2+P68*(1-0.5)^2+Q68*(1-0.3)^2+R68*(1-0.2)^2+S68*(1-0.1)^2+T68*(1-0.05)^2</f>
        <v>25.714960977078352</v>
      </c>
    </row>
    <row r="69" spans="1:21" ht="14.25" customHeight="1" thickBot="1" x14ac:dyDescent="0.25">
      <c r="A69" s="34" t="s">
        <v>16</v>
      </c>
      <c r="B69" s="35"/>
      <c r="C69" s="35"/>
      <c r="D69" s="35"/>
      <c r="E69" s="35"/>
      <c r="F69" s="35"/>
      <c r="G69" s="35"/>
      <c r="H69" s="35"/>
      <c r="I69" s="36"/>
      <c r="J69" s="66"/>
      <c r="L69" s="34" t="s">
        <v>16</v>
      </c>
      <c r="M69" s="35"/>
      <c r="N69" s="35"/>
      <c r="O69" s="35"/>
      <c r="P69" s="35"/>
      <c r="Q69" s="35"/>
      <c r="R69" s="35"/>
      <c r="S69" s="35"/>
      <c r="T69" s="36"/>
      <c r="U69" s="66"/>
    </row>
    <row r="70" spans="1:21" ht="14.25" customHeight="1" x14ac:dyDescent="0.2">
      <c r="A70" s="26" t="s">
        <v>6</v>
      </c>
      <c r="B70" s="7" t="s">
        <v>7</v>
      </c>
      <c r="C70" s="16">
        <v>92.247186116496749</v>
      </c>
      <c r="D70" s="12">
        <v>91.597884605320203</v>
      </c>
      <c r="E70" s="12">
        <v>91.511680603905845</v>
      </c>
      <c r="F70" s="12">
        <v>89.06343871798687</v>
      </c>
      <c r="G70" s="12">
        <v>81.057166591460046</v>
      </c>
      <c r="H70" s="12">
        <v>62.491303085185713</v>
      </c>
      <c r="I70" s="13">
        <v>45.016086288904575</v>
      </c>
      <c r="J70" s="66">
        <f t="shared" si="2"/>
        <v>215.3654329038938</v>
      </c>
      <c r="L70" s="26" t="s">
        <v>6</v>
      </c>
      <c r="M70" s="7" t="s">
        <v>7</v>
      </c>
      <c r="N70" s="16">
        <v>3.9865771746241632</v>
      </c>
      <c r="O70" s="12">
        <v>4.5536660342110613</v>
      </c>
      <c r="P70" s="12">
        <v>4.2864648182838208</v>
      </c>
      <c r="Q70" s="12">
        <v>4.8749175943812801</v>
      </c>
      <c r="R70" s="12">
        <v>6.6195690033276033</v>
      </c>
      <c r="S70" s="12">
        <v>9.9975260632023684</v>
      </c>
      <c r="T70" s="13">
        <v>8.9088892578240788</v>
      </c>
      <c r="U70" s="66">
        <f t="shared" si="3"/>
        <v>24.119722781465789</v>
      </c>
    </row>
    <row r="71" spans="1:21" ht="14.25" customHeight="1" x14ac:dyDescent="0.2">
      <c r="A71" s="27"/>
      <c r="B71" s="1" t="s">
        <v>8</v>
      </c>
      <c r="C71" s="17">
        <v>92.563160936089858</v>
      </c>
      <c r="D71">
        <v>91.671343853121428</v>
      </c>
      <c r="E71">
        <v>90.948470471508386</v>
      </c>
      <c r="F71">
        <v>87.250446788778675</v>
      </c>
      <c r="G71">
        <v>80.245135880766256</v>
      </c>
      <c r="H71">
        <v>67.618957114876295</v>
      </c>
      <c r="I71" s="9">
        <v>48.661256270952556</v>
      </c>
      <c r="J71" s="66">
        <f t="shared" si="2"/>
        <v>221.26432154647364</v>
      </c>
      <c r="L71" s="27"/>
      <c r="M71" s="1" t="s">
        <v>8</v>
      </c>
      <c r="N71" s="17">
        <v>4.1570380941436529</v>
      </c>
      <c r="O71">
        <v>4.4322456207651824</v>
      </c>
      <c r="P71">
        <v>4.2573142592404345</v>
      </c>
      <c r="Q71">
        <v>4.9623460503589669</v>
      </c>
      <c r="R71">
        <v>6.4761990460733738</v>
      </c>
      <c r="S71">
        <v>8.2894024682649388</v>
      </c>
      <c r="T71" s="9">
        <v>10.578972903017011</v>
      </c>
      <c r="U71" s="66">
        <f t="shared" si="3"/>
        <v>24.179599914538237</v>
      </c>
    </row>
    <row r="72" spans="1:21" ht="14.25" customHeight="1" x14ac:dyDescent="0.2">
      <c r="A72" s="27"/>
      <c r="B72" s="1" t="s">
        <v>9</v>
      </c>
      <c r="C72" s="17">
        <v>92.54556139569759</v>
      </c>
      <c r="D72">
        <v>92.097749123542997</v>
      </c>
      <c r="E72">
        <v>91.149446409986609</v>
      </c>
      <c r="F72">
        <v>90.378692861325263</v>
      </c>
      <c r="G72">
        <v>86.31037090347165</v>
      </c>
      <c r="H72">
        <v>69.052071672901974</v>
      </c>
      <c r="I72" s="9">
        <v>52.183039312657961</v>
      </c>
      <c r="J72" s="66">
        <f t="shared" si="2"/>
        <v>231.09503883771373</v>
      </c>
      <c r="L72" s="27"/>
      <c r="M72" s="1" t="s">
        <v>9</v>
      </c>
      <c r="N72" s="17">
        <v>3.8704157166302662</v>
      </c>
      <c r="O72">
        <v>4.0030091744950544</v>
      </c>
      <c r="P72">
        <v>4.4384106113763231</v>
      </c>
      <c r="Q72">
        <v>3.896528380448768</v>
      </c>
      <c r="R72">
        <v>5.8710282292811753</v>
      </c>
      <c r="S72">
        <v>8.8278448465735444</v>
      </c>
      <c r="T72" s="9">
        <v>8.7581295305693558</v>
      </c>
      <c r="U72" s="66">
        <f t="shared" si="3"/>
        <v>22.081313926473285</v>
      </c>
    </row>
    <row r="73" spans="1:21" ht="14.25" customHeight="1" x14ac:dyDescent="0.2">
      <c r="A73" s="27"/>
      <c r="B73" s="1" t="s">
        <v>10</v>
      </c>
      <c r="C73" s="17">
        <v>91.108963215218992</v>
      </c>
      <c r="D73">
        <v>91.422451190382446</v>
      </c>
      <c r="E73">
        <v>91.028164807377692</v>
      </c>
      <c r="F73">
        <v>90.92155498404928</v>
      </c>
      <c r="G73">
        <v>88.366911725212944</v>
      </c>
      <c r="H73">
        <v>69.467496738004868</v>
      </c>
      <c r="I73" s="9">
        <v>55.017151338023098</v>
      </c>
      <c r="J73" s="66">
        <f t="shared" si="2"/>
        <v>235.49898128791355</v>
      </c>
      <c r="L73" s="27"/>
      <c r="M73" s="1" t="s">
        <v>10</v>
      </c>
      <c r="N73" s="17">
        <v>4.5721711205283091</v>
      </c>
      <c r="O73">
        <v>4.2450282469621561</v>
      </c>
      <c r="P73">
        <v>4.9010444377823665</v>
      </c>
      <c r="Q73">
        <v>4.7536885250114933</v>
      </c>
      <c r="R73">
        <v>5.7319162671252464</v>
      </c>
      <c r="S73">
        <v>8.5643761177203679</v>
      </c>
      <c r="T73" s="9">
        <v>13.3397749958867</v>
      </c>
      <c r="U73" s="66">
        <f t="shared" si="3"/>
        <v>26.464600752237761</v>
      </c>
    </row>
    <row r="74" spans="1:21" ht="14.25" customHeight="1" x14ac:dyDescent="0.2">
      <c r="A74" s="27"/>
      <c r="B74" s="1" t="s">
        <v>11</v>
      </c>
      <c r="C74" s="17">
        <v>91.985002113747967</v>
      </c>
      <c r="D74">
        <v>91.844115733099713</v>
      </c>
      <c r="E74">
        <v>90.74276089064449</v>
      </c>
      <c r="F74">
        <v>86.637468540622294</v>
      </c>
      <c r="G74">
        <v>80.087169822335198</v>
      </c>
      <c r="H74">
        <v>67.923665484357144</v>
      </c>
      <c r="I74" s="9">
        <v>50.478936197751509</v>
      </c>
      <c r="J74" s="66">
        <f t="shared" si="2"/>
        <v>222.70950468797935</v>
      </c>
      <c r="L74" s="27"/>
      <c r="M74" s="1" t="s">
        <v>11</v>
      </c>
      <c r="N74" s="17">
        <v>4.584242690959452</v>
      </c>
      <c r="O74">
        <v>4.2746031503783293</v>
      </c>
      <c r="P74">
        <v>4.5095381636640219</v>
      </c>
      <c r="Q74">
        <v>5.3683537882268819</v>
      </c>
      <c r="R74">
        <v>5.8185190400296554</v>
      </c>
      <c r="S74">
        <v>8.023787622820107</v>
      </c>
      <c r="T74" s="9">
        <v>9.5152827629812951</v>
      </c>
      <c r="U74" s="66">
        <f t="shared" si="3"/>
        <v>22.835703447739711</v>
      </c>
    </row>
    <row r="75" spans="1:21" ht="14.25" customHeight="1" x14ac:dyDescent="0.2">
      <c r="A75" s="27"/>
      <c r="B75" s="1" t="s">
        <v>12</v>
      </c>
      <c r="C75" s="17">
        <v>92.468180366104363</v>
      </c>
      <c r="D75">
        <v>92.104677053061693</v>
      </c>
      <c r="E75">
        <v>91.973737069414582</v>
      </c>
      <c r="F75">
        <v>90.231180372644104</v>
      </c>
      <c r="G75">
        <v>85.680389069387402</v>
      </c>
      <c r="H75">
        <v>69.611797784660126</v>
      </c>
      <c r="I75" s="9">
        <v>51.75655561645415</v>
      </c>
      <c r="J75" s="66">
        <f t="shared" si="2"/>
        <v>230.89455161959813</v>
      </c>
      <c r="L75" s="27"/>
      <c r="M75" s="1" t="s">
        <v>12</v>
      </c>
      <c r="N75" s="17">
        <v>3.9609796946315146</v>
      </c>
      <c r="O75">
        <v>4.0190161872002168</v>
      </c>
      <c r="P75">
        <v>3.83425635153686</v>
      </c>
      <c r="Q75">
        <v>4.2952439764306201</v>
      </c>
      <c r="R75">
        <v>6.136495380553578</v>
      </c>
      <c r="S75">
        <v>8.317066252642471</v>
      </c>
      <c r="T75" s="9">
        <v>8.3992244772803879</v>
      </c>
      <c r="U75" s="66">
        <f t="shared" si="3"/>
        <v>21.558902946975472</v>
      </c>
    </row>
    <row r="76" spans="1:21" ht="14.25" customHeight="1" thickBot="1" x14ac:dyDescent="0.25">
      <c r="A76" s="28"/>
      <c r="B76" s="3" t="s">
        <v>13</v>
      </c>
      <c r="C76" s="18">
        <v>92.006101323789679</v>
      </c>
      <c r="D76" s="10">
        <v>92.057603652163365</v>
      </c>
      <c r="E76" s="10">
        <v>92.049664666397604</v>
      </c>
      <c r="F76" s="10">
        <v>89.263858115450276</v>
      </c>
      <c r="G76" s="10">
        <v>83.628927365360866</v>
      </c>
      <c r="H76" s="10">
        <v>68.726628807646634</v>
      </c>
      <c r="I76" s="11">
        <v>52.239671459303928</v>
      </c>
      <c r="J76" s="66">
        <f t="shared" si="2"/>
        <v>228.84269321147679</v>
      </c>
      <c r="L76" s="28"/>
      <c r="M76" s="3" t="s">
        <v>13</v>
      </c>
      <c r="N76" s="18">
        <v>4.2420719970357412</v>
      </c>
      <c r="O76" s="10">
        <v>3.8504360503285158</v>
      </c>
      <c r="P76" s="10">
        <v>3.9845265645291157</v>
      </c>
      <c r="Q76" s="10">
        <v>4.1886516625012451</v>
      </c>
      <c r="R76" s="10">
        <v>5.801232311545804</v>
      </c>
      <c r="S76" s="10">
        <v>8.6400942521937498</v>
      </c>
      <c r="T76" s="11">
        <v>8.5732627645881596</v>
      </c>
      <c r="U76" s="66">
        <f t="shared" si="3"/>
        <v>21.737857877610487</v>
      </c>
    </row>
    <row r="77" spans="1:21" ht="15" thickBot="1" x14ac:dyDescent="0.25">
      <c r="A77" s="4" t="s">
        <v>14</v>
      </c>
      <c r="B77" s="23" t="s">
        <v>17</v>
      </c>
      <c r="C77" s="18">
        <v>92.975071912418201</v>
      </c>
      <c r="D77" s="10">
        <v>92.482655480114417</v>
      </c>
      <c r="E77" s="10">
        <v>91.947118259611926</v>
      </c>
      <c r="F77" s="10">
        <v>89.588706846116352</v>
      </c>
      <c r="G77" s="10">
        <v>85.165438929554142</v>
      </c>
      <c r="H77" s="10">
        <v>69.625673799562222</v>
      </c>
      <c r="I77" s="11">
        <v>45.575943710882733</v>
      </c>
      <c r="J77" s="66">
        <f t="shared" si="2"/>
        <v>224.70037777863885</v>
      </c>
      <c r="L77" s="4" t="s">
        <v>14</v>
      </c>
      <c r="M77" s="23" t="s">
        <v>17</v>
      </c>
      <c r="N77" s="18">
        <v>4.0214791322193637</v>
      </c>
      <c r="O77" s="10">
        <v>4.3522992567212775</v>
      </c>
      <c r="P77" s="10">
        <v>4.4820499145717267</v>
      </c>
      <c r="Q77" s="10">
        <v>4.8870823953070817</v>
      </c>
      <c r="R77" s="10">
        <v>6.2067997320749191</v>
      </c>
      <c r="S77" s="10">
        <v>10.534977026910749</v>
      </c>
      <c r="T77" s="11">
        <v>11.21955342401594</v>
      </c>
      <c r="U77" s="66">
        <f t="shared" si="3"/>
        <v>26.418531741388524</v>
      </c>
    </row>
    <row r="80" spans="1:21" x14ac:dyDescent="0.2">
      <c r="K80" s="40"/>
      <c r="L80" s="40"/>
      <c r="M80" s="40"/>
    </row>
    <row r="81" spans="11:13" x14ac:dyDescent="0.2">
      <c r="K81" s="40"/>
      <c r="L81" s="40"/>
      <c r="M81" s="40"/>
    </row>
    <row r="82" spans="11:13" x14ac:dyDescent="0.2">
      <c r="K82" s="40"/>
      <c r="L82" s="40"/>
      <c r="M82" s="40"/>
    </row>
    <row r="83" spans="11:13" x14ac:dyDescent="0.2">
      <c r="K83" s="40"/>
      <c r="L83" s="40"/>
      <c r="M83" s="40"/>
    </row>
    <row r="84" spans="11:13" x14ac:dyDescent="0.2">
      <c r="K84" s="40"/>
      <c r="L84" s="40"/>
      <c r="M84" s="40"/>
    </row>
    <row r="85" spans="11:13" x14ac:dyDescent="0.2">
      <c r="K85" s="40"/>
      <c r="L85" s="40"/>
      <c r="M85" s="40"/>
    </row>
    <row r="86" spans="11:13" x14ac:dyDescent="0.2">
      <c r="K86" s="40"/>
      <c r="L86" s="40"/>
      <c r="M86" s="40"/>
    </row>
  </sheetData>
  <mergeCells count="60">
    <mergeCell ref="A2:B2"/>
    <mergeCell ref="L2:M2"/>
    <mergeCell ref="A21:I21"/>
    <mergeCell ref="L21:T21"/>
    <mergeCell ref="A3:I3"/>
    <mergeCell ref="L3:T3"/>
    <mergeCell ref="A4:A10"/>
    <mergeCell ref="L4:M4"/>
    <mergeCell ref="L5:M5"/>
    <mergeCell ref="L6:M6"/>
    <mergeCell ref="L7:M7"/>
    <mergeCell ref="L8:M8"/>
    <mergeCell ref="L9:M9"/>
    <mergeCell ref="L10:M10"/>
    <mergeCell ref="L64:M64"/>
    <mergeCell ref="A60:I60"/>
    <mergeCell ref="L60:T60"/>
    <mergeCell ref="L61:M61"/>
    <mergeCell ref="L28:M28"/>
    <mergeCell ref="A41:B41"/>
    <mergeCell ref="L41:M41"/>
    <mergeCell ref="A22:A28"/>
    <mergeCell ref="L25:M25"/>
    <mergeCell ref="L26:M26"/>
    <mergeCell ref="L27:M27"/>
    <mergeCell ref="L22:M22"/>
    <mergeCell ref="L23:M23"/>
    <mergeCell ref="L24:M24"/>
    <mergeCell ref="L30:T30"/>
    <mergeCell ref="A69:I69"/>
    <mergeCell ref="L69:T69"/>
    <mergeCell ref="A12:I12"/>
    <mergeCell ref="L12:T12"/>
    <mergeCell ref="L48:M48"/>
    <mergeCell ref="L49:M49"/>
    <mergeCell ref="A51:I51"/>
    <mergeCell ref="L51:T51"/>
    <mergeCell ref="A52:A58"/>
    <mergeCell ref="L65:M65"/>
    <mergeCell ref="L66:M66"/>
    <mergeCell ref="L67:M67"/>
    <mergeCell ref="L52:L58"/>
    <mergeCell ref="L62:M62"/>
    <mergeCell ref="L63:M63"/>
    <mergeCell ref="A31:A37"/>
    <mergeCell ref="L31:L37"/>
    <mergeCell ref="A70:A76"/>
    <mergeCell ref="L70:L76"/>
    <mergeCell ref="A13:A19"/>
    <mergeCell ref="L13:L19"/>
    <mergeCell ref="A42:I42"/>
    <mergeCell ref="L42:T42"/>
    <mergeCell ref="A43:A49"/>
    <mergeCell ref="L43:M43"/>
    <mergeCell ref="L44:M44"/>
    <mergeCell ref="L45:M45"/>
    <mergeCell ref="L46:M46"/>
    <mergeCell ref="L47:M47"/>
    <mergeCell ref="A30:I30"/>
    <mergeCell ref="A61:A67"/>
  </mergeCells>
  <phoneticPr fontId="1" type="noConversion"/>
  <conditionalFormatting sqref="C2:I2 C22:I29 C31:I38 C11:I11 C20:I20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10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1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9:I29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I37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8:I38 C2:I2 C20:I20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8:I38 C2:I2 C22:I29 C11:I11 C20:I20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2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3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pcc_Residual_partio</vt:lpstr>
      <vt:lpstr>pcc_Residual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2025-11-11T08:41:11Z</dcterms:modified>
</cp:coreProperties>
</file>