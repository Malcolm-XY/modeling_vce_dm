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RnD_Repo\Research_Engineeirng\modeling_vce_dm\results_cnn_subnetwork_evaluation\PCC_subnetwork_unify_node_index\"/>
    </mc:Choice>
  </mc:AlternateContent>
  <xr:revisionPtr revIDLastSave="0" documentId="13_ncr:1_{750CF2B5-9396-4007-937C-AE6567928A81}" xr6:coauthVersionLast="47" xr6:coauthVersionMax="47" xr10:uidLastSave="{00000000-0000-0000-0000-000000000000}"/>
  <bookViews>
    <workbookView xWindow="-28920" yWindow="-120" windowWidth="29040" windowHeight="16440" tabRatio="633" xr2:uid="{00000000-000D-0000-FFFF-FFFF00000000}"/>
  </bookViews>
  <sheets>
    <sheet name="pcc_Residual_partio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9" l="1"/>
  <c r="K6" i="9"/>
  <c r="K7" i="9"/>
  <c r="K8" i="9"/>
  <c r="K9" i="9"/>
  <c r="K10" i="9"/>
  <c r="K11" i="9"/>
  <c r="K3" i="9"/>
  <c r="J37" i="9"/>
  <c r="K13" i="9"/>
  <c r="K15" i="9"/>
  <c r="K16" i="9"/>
  <c r="K17" i="9"/>
  <c r="K18" i="9"/>
  <c r="K19" i="9"/>
  <c r="K20" i="9"/>
  <c r="K21" i="9"/>
  <c r="J25" i="9"/>
  <c r="J27" i="9"/>
  <c r="J28" i="9"/>
  <c r="J29" i="9"/>
  <c r="J30" i="9"/>
  <c r="J31" i="9"/>
  <c r="J32" i="9"/>
  <c r="J33" i="9"/>
  <c r="J35" i="9"/>
  <c r="J38" i="9"/>
  <c r="J39" i="9"/>
  <c r="J40" i="9"/>
  <c r="J41" i="9"/>
  <c r="J42" i="9"/>
  <c r="J43" i="9"/>
  <c r="J3" i="9"/>
  <c r="J5" i="9"/>
  <c r="J6" i="9"/>
  <c r="J7" i="9"/>
  <c r="J8" i="9"/>
  <c r="J9" i="9"/>
  <c r="J10" i="9"/>
  <c r="J11" i="9"/>
  <c r="J13" i="9"/>
  <c r="J15" i="9"/>
  <c r="J16" i="9"/>
  <c r="J17" i="9"/>
  <c r="J18" i="9"/>
  <c r="J19" i="9"/>
  <c r="J20" i="9"/>
  <c r="J21" i="9"/>
  <c r="X6" i="9"/>
  <c r="X7" i="9"/>
  <c r="X8" i="9"/>
  <c r="X9" i="9"/>
  <c r="X10" i="9"/>
  <c r="X11" i="9"/>
  <c r="X5" i="9"/>
  <c r="X28" i="9"/>
  <c r="X29" i="9"/>
  <c r="X30" i="9"/>
  <c r="X31" i="9"/>
  <c r="X32" i="9"/>
  <c r="X33" i="9"/>
  <c r="X27" i="9"/>
  <c r="L28" i="9"/>
  <c r="L29" i="9"/>
  <c r="L30" i="9"/>
  <c r="L31" i="9"/>
  <c r="L32" i="9"/>
  <c r="L33" i="9"/>
  <c r="L27" i="9"/>
  <c r="V6" i="9"/>
  <c r="V7" i="9"/>
  <c r="V8" i="9"/>
  <c r="V9" i="9"/>
  <c r="V10" i="9"/>
  <c r="V11" i="9"/>
  <c r="V5" i="9"/>
  <c r="L6" i="9"/>
  <c r="L7" i="9"/>
  <c r="L8" i="9"/>
  <c r="L9" i="9"/>
  <c r="L10" i="9"/>
  <c r="L11" i="9"/>
  <c r="L5" i="9"/>
  <c r="V28" i="9"/>
  <c r="V29" i="9"/>
  <c r="V30" i="9"/>
  <c r="V31" i="9"/>
  <c r="V32" i="9"/>
  <c r="V33" i="9"/>
  <c r="V27" i="9"/>
  <c r="X13" i="9"/>
  <c r="X35" i="9"/>
  <c r="V35" i="9"/>
  <c r="L35" i="9"/>
  <c r="V13" i="9"/>
  <c r="L13" i="9"/>
  <c r="X24" i="9"/>
  <c r="L24" i="9"/>
  <c r="X2" i="9"/>
  <c r="L2" i="9"/>
  <c r="X3" i="9"/>
  <c r="V3" i="9"/>
  <c r="L3" i="9"/>
  <c r="X43" i="9"/>
  <c r="X42" i="9"/>
  <c r="X41" i="9"/>
  <c r="X40" i="9"/>
  <c r="X39" i="9"/>
  <c r="X38" i="9"/>
  <c r="X37" i="9"/>
  <c r="X25" i="9"/>
  <c r="X21" i="9"/>
  <c r="X20" i="9"/>
  <c r="X19" i="9"/>
  <c r="X18" i="9"/>
  <c r="X17" i="9"/>
  <c r="X16" i="9"/>
  <c r="X15" i="9"/>
  <c r="L43" i="9"/>
  <c r="L42" i="9"/>
  <c r="L41" i="9"/>
  <c r="L40" i="9"/>
  <c r="L39" i="9"/>
  <c r="L38" i="9"/>
  <c r="L37" i="9"/>
  <c r="L25" i="9"/>
  <c r="L21" i="9"/>
  <c r="L20" i="9"/>
  <c r="L19" i="9"/>
  <c r="L18" i="9"/>
  <c r="L17" i="9"/>
  <c r="L16" i="9"/>
  <c r="L15" i="9"/>
  <c r="V43" i="9"/>
  <c r="V42" i="9"/>
  <c r="V41" i="9"/>
  <c r="V40" i="9"/>
  <c r="V39" i="9"/>
  <c r="V38" i="9"/>
  <c r="V37" i="9"/>
  <c r="V25" i="9"/>
  <c r="V24" i="9"/>
  <c r="J24" i="9"/>
  <c r="V21" i="9"/>
  <c r="V20" i="9"/>
  <c r="V19" i="9"/>
  <c r="V18" i="9"/>
  <c r="V17" i="9"/>
  <c r="V16" i="9"/>
  <c r="V15" i="9"/>
  <c r="V2" i="9"/>
  <c r="J2" i="9"/>
</calcChain>
</file>

<file path=xl/sharedStrings.xml><?xml version="1.0" encoding="utf-8"?>
<sst xmlns="http://schemas.openxmlformats.org/spreadsheetml/2006/main" count="102" uniqueCount="21">
  <si>
    <t>sr</t>
    <phoneticPr fontId="1" type="noConversion"/>
  </si>
  <si>
    <t>origin fcs</t>
    <phoneticPr fontId="1" type="noConversion"/>
  </si>
  <si>
    <t>accuracy</t>
    <phoneticPr fontId="1" type="noConversion"/>
  </si>
  <si>
    <t>f1 score</t>
    <phoneticPr fontId="1" type="noConversion"/>
  </si>
  <si>
    <t>accuracy_stdv</t>
    <phoneticPr fontId="1" type="noConversion"/>
  </si>
  <si>
    <t>f1 score_stdv</t>
    <phoneticPr fontId="1" type="noConversion"/>
  </si>
  <si>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</si>
  <si>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</si>
  <si>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</si>
  <si>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</si>
  <si>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</si>
  <si>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</si>
  <si>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</si>
  <si>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</si>
  <si>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</si>
  <si>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Sigma=0.0348</t>
    <phoneticPr fontId="1" type="noConversion"/>
  </si>
  <si>
    <t>Advanced Model</t>
    <phoneticPr fontId="1" type="noConversion"/>
  </si>
  <si>
    <t>Advanced, sigma=0.1328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</si>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</sst>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0" xfId="0" applyBorder="1"/>
    <xf numFmtId="0" fontId="0" fillId="0" borderId="6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/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1" xfId="0" applyBorder="1"/>
    <xf numFmtId="0" fontId="0" fillId="0" borderId="10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X87"/>
  <sheetViews>
    <sheetView tabSelected="1" zoomScaleNormal="100" workbookViewId="0"/>
  </sheetViews>
  <sheetFormatPr defaultRowHeight="14.25" x14ac:dyDescent="0.2"/>
  <cols>
    <col min="1" max="2" width="15" customWidth="1"/>
    <col min="13" max="14" width="15" customWidth="1"/>
  </cols>
  <sheetData>
    <row r="1" spans="1:24" ht="15" thickBot="1" x14ac:dyDescent="0.25">
      <c r="A1" s="3" t="s">
        <v>2</v>
      </c>
      <c r="B1" s="5" t="s">
        <v>0</v>
      </c>
      <c r="C1" s="4">
        <v>1</v>
      </c>
      <c r="D1" s="4">
        <v>0.75</v>
      </c>
      <c r="E1" s="4">
        <v>0.5</v>
      </c>
      <c r="F1" s="4">
        <v>0.3</v>
      </c>
      <c r="G1" s="4">
        <v>0.2</v>
      </c>
      <c r="H1" s="4">
        <v>0.1</v>
      </c>
      <c r="I1" s="5">
        <v>0.05</v>
      </c>
      <c r="J1" s="7" t="s">
        <v>20</v>
      </c>
      <c r="K1" s="7"/>
      <c r="M1" s="3" t="s">
        <v>4</v>
      </c>
      <c r="N1" s="5" t="s">
        <v>0</v>
      </c>
      <c r="O1" s="3">
        <v>1</v>
      </c>
      <c r="P1" s="4">
        <v>0.75</v>
      </c>
      <c r="Q1" s="4">
        <v>0.5</v>
      </c>
      <c r="R1" s="4">
        <v>0.3</v>
      </c>
      <c r="S1" s="4">
        <v>0.2</v>
      </c>
      <c r="T1" s="4">
        <v>0.1</v>
      </c>
      <c r="U1" s="5">
        <v>0.05</v>
      </c>
      <c r="V1" s="7" t="s">
        <v>20</v>
      </c>
    </row>
    <row r="2" spans="1:24" ht="15" thickBot="1" x14ac:dyDescent="0.25">
      <c r="A2" s="22" t="s">
        <v>1</v>
      </c>
      <c r="B2" s="23"/>
      <c r="C2" s="35">
        <v>93.101364775358491</v>
      </c>
      <c r="D2" s="36">
        <v>91.326663725464783</v>
      </c>
      <c r="E2" s="36">
        <v>89.722561037148537</v>
      </c>
      <c r="F2" s="36">
        <v>83.857204647099024</v>
      </c>
      <c r="G2" s="36">
        <v>76.242949045118635</v>
      </c>
      <c r="H2" s="36">
        <v>60.40277741733636</v>
      </c>
      <c r="I2" s="37">
        <v>47.740900296138662</v>
      </c>
      <c r="J2" s="7">
        <f>C2*(1-1)^2+D2*(1-0.75)^2+E2*(1-0.5)^2+F2*(1-0.3)^2+G2*(1-0.2)^2+H2*(1-0.1)^2+I2*(1-0.05)^2</f>
        <v>210.03648663339072</v>
      </c>
      <c r="K2" s="7"/>
      <c r="L2" t="str">
        <f t="shared" ref="L2" si="0">"    "&amp;_xlfn.TEXTJOIN(", ",TRUE,C2:I2)&amp;","</f>
        <v xml:space="preserve">    93.1013647753585, 91.3266637254648, 89.7225610371485, 83.857204647099, 76.2429490451186, 60.4027774173364, 47.7409002961387,</v>
      </c>
      <c r="M2" s="22" t="s">
        <v>1</v>
      </c>
      <c r="N2" s="23"/>
      <c r="O2" s="49">
        <v>3.4649270444699574</v>
      </c>
      <c r="P2" s="44">
        <v>4.4611797621615326</v>
      </c>
      <c r="Q2" s="44">
        <v>4.7712065248821434</v>
      </c>
      <c r="R2" s="44">
        <v>5.3965689103010375</v>
      </c>
      <c r="S2" s="44">
        <v>7.9323757260741923</v>
      </c>
      <c r="T2" s="44">
        <v>9.9900413492801565</v>
      </c>
      <c r="U2" s="45">
        <v>9.7565309936118432</v>
      </c>
      <c r="V2" s="7">
        <f>O2*(1-1)^2+P2*(1-0.75)^2+Q2*(1-0.5)^2+R2*(1-0.3)^2+S2*(1-0.2)^2+T2*(1-0.1)^2+U2*(1-0.05)^2</f>
        <v>26.089867311742239</v>
      </c>
      <c r="X2" t="str">
        <f t="shared" ref="X2" si="1">"    "&amp;_xlfn.TEXTJOIN(", ",TRUE,O2:U2)&amp;","</f>
        <v xml:space="preserve">    3.46492704446996, 4.46117976216153, 4.77120652488214, 5.39656891030104, 7.93237572607419, 9.99004134928016, 9.75653099361184,</v>
      </c>
    </row>
    <row r="3" spans="1:24" ht="15" thickBot="1" x14ac:dyDescent="0.25">
      <c r="A3" s="3" t="s">
        <v>14</v>
      </c>
      <c r="B3" s="18" t="s">
        <v>15</v>
      </c>
      <c r="C3" s="85">
        <v>93.090525581247817</v>
      </c>
      <c r="D3" s="85">
        <v>91.75046496942015</v>
      </c>
      <c r="E3" s="85">
        <v>90.263621080920558</v>
      </c>
      <c r="F3" s="85">
        <v>84.451687875039298</v>
      </c>
      <c r="G3" s="85">
        <v>75.867348910169397</v>
      </c>
      <c r="H3" s="85">
        <v>59.384296865313139</v>
      </c>
      <c r="I3" s="85">
        <v>45.818496123092203</v>
      </c>
      <c r="J3" s="87">
        <f t="shared" ref="J3:J21" si="2">C3*(1-1)^2+D3*(1-0.75)^2+E3*(1-0.5)^2+F3*(1-0.3)^2+G3*(1-0.2)^2+H3*(1-0.1)^2+I3*(1-0.05)^2</f>
        <v>207.68921290409091</v>
      </c>
      <c r="K3" s="7">
        <f>J3-207</f>
        <v>0.6892129040909083</v>
      </c>
      <c r="L3" t="str">
        <f>"    "&amp;_xlfn.TEXTJOIN(", ",TRUE,C13:I13)&amp;","</f>
        <v xml:space="preserve">    93.2812365735574, 91.369244831991, 90.2178075358207, 83.3231515843563, 72.0595276199044, 58.1070136131512, 42.5524326911709,</v>
      </c>
      <c r="M3" s="3" t="s">
        <v>14</v>
      </c>
      <c r="N3" s="18" t="s">
        <v>15</v>
      </c>
      <c r="O3" s="86">
        <v>3.7976629026613962</v>
      </c>
      <c r="P3" s="86">
        <v>4.4693394983088446</v>
      </c>
      <c r="Q3" s="86">
        <v>4.3934792827250444</v>
      </c>
      <c r="R3" s="86">
        <v>5.3745127674327744</v>
      </c>
      <c r="S3" s="86">
        <v>8.1860071751586627</v>
      </c>
      <c r="T3" s="86">
        <v>10.74274832329384</v>
      </c>
      <c r="U3" s="86">
        <v>10.58873553409517</v>
      </c>
      <c r="V3" s="7">
        <f>O13*(1-1)^2+P13*(1-0.75)^2+Q13*(1-0.5)^2+R13*(1-0.3)^2+S13*(1-0.2)^2+T13*(1-0.1)^2+U13*(1-0.05)^2</f>
        <v>25.407450454227511</v>
      </c>
      <c r="X3" t="str">
        <f>"    "&amp;_xlfn.TEXTJOIN(", ",TRUE,O13:U13)&amp;","</f>
        <v xml:space="preserve">    3.92481281620396, 4.78385696582306, 4.99238387222087, 6.34686647820643, 9.09484222050033, 10.1383467084469, 7.44336730916898,</v>
      </c>
    </row>
    <row r="4" spans="1:24" ht="15" thickBot="1" x14ac:dyDescent="0.25">
      <c r="A4" s="24" t="s">
        <v>19</v>
      </c>
      <c r="B4" s="25"/>
      <c r="C4" s="25"/>
      <c r="D4" s="25"/>
      <c r="E4" s="25"/>
      <c r="F4" s="25"/>
      <c r="G4" s="25"/>
      <c r="H4" s="25"/>
      <c r="I4" s="26"/>
      <c r="J4" s="87"/>
      <c r="K4" s="90"/>
      <c r="M4" s="24" t="s">
        <v>19</v>
      </c>
      <c r="N4" s="25"/>
      <c r="O4" s="25"/>
      <c r="P4" s="25"/>
      <c r="Q4" s="25"/>
      <c r="R4" s="25"/>
      <c r="S4" s="25"/>
      <c r="T4" s="25"/>
      <c r="U4" s="26"/>
      <c r="V4" s="7"/>
    </row>
    <row r="5" spans="1:24" x14ac:dyDescent="0.2">
      <c r="A5" s="27" t="s">
        <v>6</v>
      </c>
      <c r="B5" s="6" t="s">
        <v>7</v>
      </c>
      <c r="C5" s="68">
        <v>93.405799358125932</v>
      </c>
      <c r="D5" s="66">
        <v>92.279483386534494</v>
      </c>
      <c r="E5" s="66">
        <v>91.483971891337006</v>
      </c>
      <c r="F5" s="66">
        <v>86.72222366398789</v>
      </c>
      <c r="G5" s="66">
        <v>79.769634685421153</v>
      </c>
      <c r="H5" s="66">
        <v>61.634027976020548</v>
      </c>
      <c r="I5" s="67">
        <v>48.583566178484823</v>
      </c>
      <c r="J5" s="87">
        <f t="shared" si="2"/>
        <v>215.95514761517549</v>
      </c>
      <c r="K5" s="90">
        <f t="shared" ref="K4:K11" si="3">J5-207</f>
        <v>8.9551476151754912</v>
      </c>
      <c r="L5" s="61" t="str">
        <f>"    "&amp;_xlfn.TEXTJOIN(", ",TRUE,C5:I5)&amp;","</f>
        <v xml:space="preserve">    93.4057993581259, 92.2794833865345, 91.483971891337, 86.7222236639879, 79.7696346854212, 61.6340279760205, 48.5835661784848,</v>
      </c>
      <c r="M5" s="24" t="s">
        <v>7</v>
      </c>
      <c r="N5" s="26"/>
      <c r="O5" s="68">
        <v>3.7145665265073951</v>
      </c>
      <c r="P5" s="66">
        <v>4.025423850090319</v>
      </c>
      <c r="Q5" s="66">
        <v>4.071955680692815</v>
      </c>
      <c r="R5" s="66">
        <v>5.2263965385367754</v>
      </c>
      <c r="S5" s="66">
        <v>7.5840123893874667</v>
      </c>
      <c r="T5" s="66">
        <v>9.9532134126341223</v>
      </c>
      <c r="U5" s="67">
        <v>8.8470158177049569</v>
      </c>
      <c r="V5" s="62">
        <f t="shared" ref="V5:V11" si="4">O5*(1-1)^2+P5*(1-0.75)^2+Q5*(1-0.5)^2+R5*(1-0.3)^2+S5*(1-0.2)^2+T5*(1-0.1)^2+U5*(1-0.05)^2</f>
        <v>24.730814783607208</v>
      </c>
      <c r="X5" s="61" t="str">
        <f>"    "&amp;_xlfn.TEXTJOIN(", ",TRUE,O15:U15)&amp;","</f>
        <v xml:space="preserve">    3.5096257914862, 4.34067603806172, 5.03978551480073, 5.57534074306698, 8.17390206744135, 10.7421554000698, 9.32343492538608,</v>
      </c>
    </row>
    <row r="6" spans="1:24" x14ac:dyDescent="0.2">
      <c r="A6" s="28"/>
      <c r="B6" s="1" t="s">
        <v>8</v>
      </c>
      <c r="C6" s="69">
        <v>93.288136863929054</v>
      </c>
      <c r="D6" s="33">
        <v>91.724043172230424</v>
      </c>
      <c r="E6" s="33">
        <v>91.216129320611188</v>
      </c>
      <c r="F6" s="33">
        <v>85.858360943145442</v>
      </c>
      <c r="G6" s="33">
        <v>77.500128317142298</v>
      </c>
      <c r="H6" s="33">
        <v>60.436379207432573</v>
      </c>
      <c r="I6" s="63">
        <v>47.982750715836637</v>
      </c>
      <c r="J6" s="87">
        <f t="shared" si="2"/>
        <v>212.46536369259249</v>
      </c>
      <c r="K6" s="90">
        <f t="shared" si="3"/>
        <v>5.46536369259249</v>
      </c>
      <c r="L6" s="61" t="str">
        <f t="shared" ref="L6:L11" si="5">"    "&amp;_xlfn.TEXTJOIN(", ",TRUE,C6:I6)&amp;","</f>
        <v xml:space="preserve">    93.2881368639291, 91.7240431722304, 91.2161293206112, 85.8583609431454, 77.5001283171423, 60.4363792074326, 47.9827507158366,</v>
      </c>
      <c r="M6" s="20" t="s">
        <v>8</v>
      </c>
      <c r="N6" s="21"/>
      <c r="O6" s="69">
        <v>3.6074876467733898</v>
      </c>
      <c r="P6" s="33">
        <v>4.654379092342702</v>
      </c>
      <c r="Q6" s="33">
        <v>4.5225576979138182</v>
      </c>
      <c r="R6" s="33">
        <v>4.7537534573093163</v>
      </c>
      <c r="S6" s="33">
        <v>8.5429392009443426</v>
      </c>
      <c r="T6" s="33">
        <v>10.349752542747041</v>
      </c>
      <c r="U6" s="63">
        <v>8.8298429261228595</v>
      </c>
      <c r="V6" s="62">
        <f t="shared" si="4"/>
        <v>25.570591200886799</v>
      </c>
      <c r="X6" s="61" t="str">
        <f t="shared" ref="X6:X11" si="6">"    "&amp;_xlfn.TEXTJOIN(", ",TRUE,O16:U16)&amp;","</f>
        <v xml:space="preserve">    3.75409523972189, 4.52670566895781, 5.01387592989395, 5.82546019364435, 9.56191631013342, 11.6258522659697, 9.47957224534587,</v>
      </c>
    </row>
    <row r="7" spans="1:24" x14ac:dyDescent="0.2">
      <c r="A7" s="28"/>
      <c r="B7" s="1" t="s">
        <v>9</v>
      </c>
      <c r="C7" s="69">
        <v>93.537896809949345</v>
      </c>
      <c r="D7" s="33">
        <v>91.77615723319407</v>
      </c>
      <c r="E7" s="33">
        <v>90.97017563589074</v>
      </c>
      <c r="F7" s="33">
        <v>85.355493271279741</v>
      </c>
      <c r="G7" s="33">
        <v>76.490433884952864</v>
      </c>
      <c r="H7" s="33">
        <v>60.363322058725998</v>
      </c>
      <c r="I7" s="63">
        <v>48.644973860788873</v>
      </c>
      <c r="J7" s="87">
        <f t="shared" si="2"/>
        <v>212.05300290227424</v>
      </c>
      <c r="K7" s="90">
        <f t="shared" si="3"/>
        <v>5.053002902274244</v>
      </c>
      <c r="L7" s="61" t="str">
        <f t="shared" si="5"/>
        <v xml:space="preserve">    93.5378968099493, 91.7761572331941, 90.9701756358907, 85.3554932712797, 76.4904338849529, 60.363322058726, 48.6449738607889,</v>
      </c>
      <c r="M7" s="20" t="s">
        <v>9</v>
      </c>
      <c r="N7" s="21"/>
      <c r="O7" s="69">
        <v>3.6463258664934579</v>
      </c>
      <c r="P7" s="33">
        <v>4.3995809733335571</v>
      </c>
      <c r="Q7" s="33">
        <v>4.4209656850251644</v>
      </c>
      <c r="R7" s="33">
        <v>5.7033934276165628</v>
      </c>
      <c r="S7" s="33">
        <v>7.8622214190922257</v>
      </c>
      <c r="T7" s="33">
        <v>10.43021254022579</v>
      </c>
      <c r="U7" s="63">
        <v>9.9808735523717509</v>
      </c>
      <c r="V7" s="62">
        <f t="shared" si="4"/>
        <v>26.662910258439176</v>
      </c>
      <c r="X7" s="61" t="str">
        <f t="shared" si="6"/>
        <v xml:space="preserve">    4.87213140506239, 4.56663050205164, 4.59581960382134, 5.48658415935372, 9.40330705123232, 11.2291091545446, 7.08728423267801,</v>
      </c>
    </row>
    <row r="8" spans="1:24" x14ac:dyDescent="0.2">
      <c r="A8" s="28"/>
      <c r="B8" s="1" t="s">
        <v>10</v>
      </c>
      <c r="C8" s="69">
        <v>92.985308408088883</v>
      </c>
      <c r="D8" s="33">
        <v>91.634668119966435</v>
      </c>
      <c r="E8" s="33">
        <v>89.985867813158706</v>
      </c>
      <c r="F8" s="33">
        <v>84.100626591348799</v>
      </c>
      <c r="G8" s="33">
        <v>74.271686317932392</v>
      </c>
      <c r="H8" s="33">
        <v>58.742050825122483</v>
      </c>
      <c r="I8" s="63">
        <v>49.485422307574737</v>
      </c>
      <c r="J8" s="87">
        <f t="shared" si="2"/>
        <v>209.20847478496063</v>
      </c>
      <c r="K8" s="90">
        <f t="shared" si="3"/>
        <v>2.2084747849606288</v>
      </c>
      <c r="L8" s="61" t="str">
        <f t="shared" si="5"/>
        <v xml:space="preserve">    92.9853084080889, 91.6346681199664, 89.9858678131587, 84.1006265913488, 74.2716863179324, 58.7420508251225, 49.4854223075747,</v>
      </c>
      <c r="M8" s="20" t="s">
        <v>10</v>
      </c>
      <c r="N8" s="21"/>
      <c r="O8" s="69">
        <v>3.8348095852913309</v>
      </c>
      <c r="P8" s="33">
        <v>4.729364039765815</v>
      </c>
      <c r="Q8" s="33">
        <v>4.7329123670624638</v>
      </c>
      <c r="R8" s="33">
        <v>5.4417584528618237</v>
      </c>
      <c r="S8" s="33">
        <v>8.0867206635442059</v>
      </c>
      <c r="T8" s="33">
        <v>11.007010900008391</v>
      </c>
      <c r="U8" s="63">
        <v>9.7697972041253713</v>
      </c>
      <c r="V8" s="62">
        <f t="shared" si="4"/>
        <v>27.05369701655151</v>
      </c>
      <c r="X8" s="61" t="str">
        <f t="shared" si="6"/>
        <v xml:space="preserve">    4.24150841197273, 4.8682464400032, 4.09149096708177, 5.13448244760138, 7.72676993733861, 10.8308715210747, 10.4550913269446,</v>
      </c>
    </row>
    <row r="9" spans="1:24" x14ac:dyDescent="0.2">
      <c r="A9" s="28"/>
      <c r="B9" s="1" t="s">
        <v>11</v>
      </c>
      <c r="C9" s="69">
        <v>93.506425949474774</v>
      </c>
      <c r="D9" s="33">
        <v>92.194771004362806</v>
      </c>
      <c r="E9" s="33">
        <v>91.02450424888336</v>
      </c>
      <c r="F9" s="33">
        <v>85.791990703495145</v>
      </c>
      <c r="G9" s="33">
        <v>78.562055035078174</v>
      </c>
      <c r="H9" s="33">
        <v>62.01591709270842</v>
      </c>
      <c r="I9" s="63">
        <v>48.567248274927422</v>
      </c>
      <c r="J9" s="87">
        <f t="shared" si="2"/>
        <v>214.90092433037202</v>
      </c>
      <c r="K9" s="90">
        <f t="shared" si="3"/>
        <v>7.9009243303720211</v>
      </c>
      <c r="L9" s="61" t="str">
        <f t="shared" si="5"/>
        <v xml:space="preserve">    93.5064259494748, 92.1947710043628, 91.0245042488834, 85.7919907034951, 78.5620550350782, 62.0159170927084, 48.5672482749274,</v>
      </c>
      <c r="M9" s="20" t="s">
        <v>11</v>
      </c>
      <c r="N9" s="21"/>
      <c r="O9" s="69">
        <v>3.6179949379831688</v>
      </c>
      <c r="P9" s="33">
        <v>4.146582842687045</v>
      </c>
      <c r="Q9" s="33">
        <v>4.7803361330145204</v>
      </c>
      <c r="R9" s="33">
        <v>5.3009285996417441</v>
      </c>
      <c r="S9" s="33">
        <v>7.477936544107104</v>
      </c>
      <c r="T9" s="33">
        <v>10.387227717538821</v>
      </c>
      <c r="U9" s="63">
        <v>9.745104063944213</v>
      </c>
      <c r="V9" s="62">
        <f t="shared" si="4"/>
        <v>26.046190731890672</v>
      </c>
      <c r="X9" s="61" t="str">
        <f t="shared" si="6"/>
        <v xml:space="preserve">    4.00564158520824, 4.68607913562208, 4.86187297436273, 5.62206997468006, 9.64873314093965, 11.3824679392999, 8.63158397818082,</v>
      </c>
    </row>
    <row r="10" spans="1:24" x14ac:dyDescent="0.2">
      <c r="A10" s="28"/>
      <c r="B10" s="1" t="s">
        <v>12</v>
      </c>
      <c r="C10" s="69">
        <v>93.057255397249691</v>
      </c>
      <c r="D10" s="33">
        <v>91.963854935307992</v>
      </c>
      <c r="E10" s="33">
        <v>90.483225056733502</v>
      </c>
      <c r="F10" s="33">
        <v>84.484684123565074</v>
      </c>
      <c r="G10" s="33">
        <v>75.441710856783658</v>
      </c>
      <c r="H10" s="33">
        <v>59.729221994423263</v>
      </c>
      <c r="I10" s="63">
        <v>49.108291017511682</v>
      </c>
      <c r="J10" s="87">
        <f t="shared" si="2"/>
        <v>210.74963982531568</v>
      </c>
      <c r="K10" s="90">
        <f t="shared" si="3"/>
        <v>3.7496398253156826</v>
      </c>
      <c r="L10" s="61" t="str">
        <f t="shared" si="5"/>
        <v xml:space="preserve">    93.0572553972497, 91.963854935308, 90.4832250567335, 84.4846841235651, 75.4417108567837, 59.7292219944233, 49.1082910175117,</v>
      </c>
      <c r="M10" s="20" t="s">
        <v>12</v>
      </c>
      <c r="N10" s="21"/>
      <c r="O10" s="69">
        <v>4.0765948176592079</v>
      </c>
      <c r="P10" s="33">
        <v>4.2627922807193306</v>
      </c>
      <c r="Q10" s="33">
        <v>4.6078598072454966</v>
      </c>
      <c r="R10" s="33">
        <v>5.8977961149932554</v>
      </c>
      <c r="S10" s="33">
        <v>8.5023701851179219</v>
      </c>
      <c r="T10" s="33">
        <v>10.40830428687841</v>
      </c>
      <c r="U10" s="63">
        <v>9.2641935500645882</v>
      </c>
      <c r="V10" s="62">
        <f t="shared" si="4"/>
        <v>26.5414876354833</v>
      </c>
      <c r="X10" s="61" t="str">
        <f t="shared" si="6"/>
        <v xml:space="preserve">    3.76267118486793, 4.51778283934511, 4.62551272808619, 6.08389581048087, 10.3618210415666, 10.8008418614394, 7.34964250769602,</v>
      </c>
    </row>
    <row r="11" spans="1:24" ht="15" thickBot="1" x14ac:dyDescent="0.25">
      <c r="A11" s="29"/>
      <c r="B11" s="2" t="s">
        <v>13</v>
      </c>
      <c r="C11" s="70">
        <v>93.49070493689392</v>
      </c>
      <c r="D11" s="64">
        <v>91.995227755718759</v>
      </c>
      <c r="E11" s="64">
        <v>91.112699936850674</v>
      </c>
      <c r="F11" s="64">
        <v>86.97610129268709</v>
      </c>
      <c r="G11" s="64">
        <v>79.195852328595706</v>
      </c>
      <c r="H11" s="64">
        <v>61.489926383446218</v>
      </c>
      <c r="I11" s="65">
        <v>49.259422659365569</v>
      </c>
      <c r="J11" s="87">
        <f t="shared" si="2"/>
        <v>216.09498116333188</v>
      </c>
      <c r="K11" s="90">
        <f t="shared" si="3"/>
        <v>9.0949811633318802</v>
      </c>
      <c r="L11" s="61" t="str">
        <f t="shared" si="5"/>
        <v xml:space="preserve">    93.4907049368939, 91.9952277557188, 91.1126999368507, 86.9761012926871, 79.1958523285957, 61.4899263834462, 49.2594226593656,</v>
      </c>
      <c r="M11" s="22" t="s">
        <v>13</v>
      </c>
      <c r="N11" s="23"/>
      <c r="O11" s="70">
        <v>3.9737062805078449</v>
      </c>
      <c r="P11" s="64">
        <v>4.089639026024261</v>
      </c>
      <c r="Q11" s="64">
        <v>4.5337478227464496</v>
      </c>
      <c r="R11" s="64">
        <v>4.9236071452553984</v>
      </c>
      <c r="S11" s="64">
        <v>8.3013399559734999</v>
      </c>
      <c r="T11" s="64">
        <v>10.732790244853129</v>
      </c>
      <c r="U11" s="65">
        <v>8.9864294867376522</v>
      </c>
      <c r="V11" s="62">
        <f t="shared" si="4"/>
        <v>25.918277177923081</v>
      </c>
      <c r="X11" s="61" t="str">
        <f t="shared" si="6"/>
        <v xml:space="preserve">    3.88975330955809, 4.47619405596137, 5.32577878680423, 6.32653422671063, 9.41964007568469, 11.0930955140621, 7.62024292990127,</v>
      </c>
    </row>
    <row r="12" spans="1:24" ht="15" thickBot="1" x14ac:dyDescent="0.25">
      <c r="A12" s="7"/>
      <c r="B12" s="7"/>
      <c r="J12" s="87"/>
      <c r="K12" s="87"/>
      <c r="M12" s="2"/>
      <c r="N12" s="19"/>
      <c r="O12" s="13"/>
      <c r="P12" s="9"/>
      <c r="Q12" s="9"/>
      <c r="R12" s="9"/>
      <c r="S12" s="9"/>
      <c r="T12" s="9"/>
      <c r="U12" s="10"/>
      <c r="V12" s="7"/>
    </row>
    <row r="13" spans="1:24" ht="14.25" customHeight="1" thickBot="1" x14ac:dyDescent="0.25">
      <c r="A13" s="3" t="s">
        <v>14</v>
      </c>
      <c r="B13" s="17" t="s">
        <v>17</v>
      </c>
      <c r="C13" s="49">
        <v>93.281236573557422</v>
      </c>
      <c r="D13" s="44">
        <v>91.369244831991026</v>
      </c>
      <c r="E13" s="44">
        <v>90.217807535820668</v>
      </c>
      <c r="F13" s="44">
        <v>83.323151584356282</v>
      </c>
      <c r="G13" s="44">
        <v>72.059527619904429</v>
      </c>
      <c r="H13" s="44">
        <v>58.10701361315121</v>
      </c>
      <c r="I13" s="45">
        <v>42.552432691170907</v>
      </c>
      <c r="J13" s="87">
        <f t="shared" si="2"/>
        <v>200.68172316946223</v>
      </c>
      <c r="K13" s="87">
        <f t="shared" ref="K4:K21" si="7">J13-200</f>
        <v>0.68172316946223077</v>
      </c>
      <c r="L13" s="34" t="str">
        <f>"    "&amp;_xlfn.TEXTJOIN(", ",TRUE,C13:I13)&amp;","</f>
        <v xml:space="preserve">    93.2812365735574, 91.369244831991, 90.2178075358207, 83.3231515843563, 72.0595276199044, 58.1070136131512, 42.5524326911709,</v>
      </c>
      <c r="M13" s="3" t="s">
        <v>14</v>
      </c>
      <c r="N13" s="17" t="s">
        <v>17</v>
      </c>
      <c r="O13" s="49">
        <v>3.9248128162039611</v>
      </c>
      <c r="P13" s="44">
        <v>4.7838569658230554</v>
      </c>
      <c r="Q13" s="44">
        <v>4.9923838722208718</v>
      </c>
      <c r="R13" s="44">
        <v>6.3468664782064348</v>
      </c>
      <c r="S13" s="44">
        <v>9.0948422205003272</v>
      </c>
      <c r="T13" s="44">
        <v>10.1383467084469</v>
      </c>
      <c r="U13" s="45">
        <v>7.443367309168976</v>
      </c>
      <c r="V13" s="38">
        <f t="shared" ref="V13:V33" si="8">O13*(1-1)^2+P13*(1-0.75)^2+Q13*(1-0.5)^2+R13*(1-0.3)^2+S13*(1-0.2)^2+T13*(1-0.1)^2+U13*(1-0.05)^2</f>
        <v>25.407450454227511</v>
      </c>
      <c r="X13" s="51" t="str">
        <f>"    "&amp;_xlfn.TEXTJOIN(", ",TRUE,O13:U13)&amp;","</f>
        <v xml:space="preserve">    3.92481281620396, 4.78385696582306, 4.99238387222087, 6.34686647820643, 9.09484222050033, 10.1383467084469, 7.44336730916898,</v>
      </c>
    </row>
    <row r="14" spans="1:24" ht="15" thickBot="1" x14ac:dyDescent="0.25">
      <c r="A14" s="30" t="s">
        <v>18</v>
      </c>
      <c r="B14" s="31"/>
      <c r="C14" s="31"/>
      <c r="D14" s="31"/>
      <c r="E14" s="31"/>
      <c r="F14" s="31"/>
      <c r="G14" s="31"/>
      <c r="H14" s="31"/>
      <c r="I14" s="32"/>
      <c r="J14" s="87"/>
      <c r="K14" s="87"/>
      <c r="M14" s="24" t="s">
        <v>18</v>
      </c>
      <c r="N14" s="25"/>
      <c r="O14" s="25"/>
      <c r="P14" s="25"/>
      <c r="Q14" s="25"/>
      <c r="R14" s="25"/>
      <c r="S14" s="25"/>
      <c r="T14" s="25"/>
      <c r="U14" s="26"/>
      <c r="V14" s="7"/>
    </row>
    <row r="15" spans="1:24" x14ac:dyDescent="0.2">
      <c r="A15" s="28" t="s">
        <v>6</v>
      </c>
      <c r="B15" s="50" t="s">
        <v>7</v>
      </c>
      <c r="C15" s="46">
        <v>93.033541235939168</v>
      </c>
      <c r="D15" s="42">
        <v>91.609907236798477</v>
      </c>
      <c r="E15" s="42">
        <v>89.512746650057565</v>
      </c>
      <c r="F15" s="42">
        <v>83.088169736185719</v>
      </c>
      <c r="G15" s="42">
        <v>74.509058613540489</v>
      </c>
      <c r="H15" s="42">
        <v>59.097440289275873</v>
      </c>
      <c r="I15" s="43">
        <v>46.525930155105137</v>
      </c>
      <c r="J15" s="87">
        <f t="shared" si="2"/>
        <v>206.36138514750706</v>
      </c>
      <c r="K15" s="87">
        <f t="shared" si="7"/>
        <v>6.3613851475070646</v>
      </c>
      <c r="L15" t="str">
        <f>"    "&amp;_xlfn.TEXTJOIN(", ",TRUE,C15:I15)&amp;","</f>
        <v xml:space="preserve">    93.0335412359392, 91.6099072367985, 89.5127466500576, 83.0881697361857, 74.5090586135405, 59.0974402892759, 46.5259301551051,</v>
      </c>
      <c r="M15" s="27" t="s">
        <v>6</v>
      </c>
      <c r="N15" s="14" t="s">
        <v>7</v>
      </c>
      <c r="O15" s="46">
        <v>3.509625791486195</v>
      </c>
      <c r="P15" s="42">
        <v>4.3406760380617193</v>
      </c>
      <c r="Q15" s="42">
        <v>5.0397855148007329</v>
      </c>
      <c r="R15" s="42">
        <v>5.5753407430669846</v>
      </c>
      <c r="S15" s="42">
        <v>8.1739020674413538</v>
      </c>
      <c r="T15" s="42">
        <v>10.742155400069789</v>
      </c>
      <c r="U15" s="43">
        <v>9.3234349253860831</v>
      </c>
      <c r="V15" s="7">
        <f t="shared" si="8"/>
        <v>26.609998812561798</v>
      </c>
      <c r="X15" t="str">
        <f>"    "&amp;_xlfn.TEXTJOIN(", ",TRUE,O15:U15)&amp;","</f>
        <v xml:space="preserve">    3.5096257914862, 4.34067603806172, 5.03978551480073, 5.57534074306698, 8.17390206744135, 10.7421554000698, 9.32343492538608,</v>
      </c>
    </row>
    <row r="16" spans="1:24" x14ac:dyDescent="0.2">
      <c r="A16" s="28"/>
      <c r="B16" s="15" t="s">
        <v>8</v>
      </c>
      <c r="C16" s="47">
        <v>93.237069524822871</v>
      </c>
      <c r="D16" s="33">
        <v>91.489193966499144</v>
      </c>
      <c r="E16" s="33">
        <v>89.388532772774838</v>
      </c>
      <c r="F16" s="33">
        <v>82.191247329129141</v>
      </c>
      <c r="G16" s="33">
        <v>69.401618237758683</v>
      </c>
      <c r="H16" s="33">
        <v>56.47714080571631</v>
      </c>
      <c r="I16" s="39">
        <v>44.373673936049038</v>
      </c>
      <c r="J16" s="87">
        <f t="shared" si="2"/>
        <v>198.54967945945322</v>
      </c>
      <c r="K16" s="87">
        <f t="shared" si="7"/>
        <v>-1.4503205405467838</v>
      </c>
      <c r="L16" t="str">
        <f t="shared" ref="L16:L21" si="9">"    "&amp;_xlfn.TEXTJOIN(", ",TRUE,C16:I16)&amp;","</f>
        <v xml:space="preserve">    93.2370695248229, 91.4891939664991, 89.3885327727748, 82.1912473291291, 69.4016182377587, 56.4771408057163, 44.373673936049,</v>
      </c>
      <c r="M16" s="28"/>
      <c r="N16" s="15" t="s">
        <v>8</v>
      </c>
      <c r="O16" s="47">
        <v>3.7540952397218912</v>
      </c>
      <c r="P16" s="33">
        <v>4.5267056689578107</v>
      </c>
      <c r="Q16" s="33">
        <v>5.0138759298939544</v>
      </c>
      <c r="R16" s="33">
        <v>5.8254601936443464</v>
      </c>
      <c r="S16" s="33">
        <v>9.5619163101334212</v>
      </c>
      <c r="T16" s="33">
        <v>11.625852265969741</v>
      </c>
      <c r="U16" s="39">
        <v>9.4795722453458708</v>
      </c>
      <c r="V16" s="7">
        <f t="shared" si="8"/>
        <v>28.48274430701461</v>
      </c>
      <c r="X16" t="str">
        <f t="shared" ref="X16:X21" si="10">"    "&amp;_xlfn.TEXTJOIN(", ",TRUE,O16:U16)&amp;","</f>
        <v xml:space="preserve">    3.75409523972189, 4.52670566895781, 5.01387592989395, 5.82546019364435, 9.56191631013342, 11.6258522659697, 9.47957224534587,</v>
      </c>
    </row>
    <row r="17" spans="1:24" x14ac:dyDescent="0.2">
      <c r="A17" s="28"/>
      <c r="B17" s="15" t="s">
        <v>9</v>
      </c>
      <c r="C17" s="47">
        <v>92.454375326199482</v>
      </c>
      <c r="D17" s="33">
        <v>91.356514041355609</v>
      </c>
      <c r="E17" s="33">
        <v>89.585074265348311</v>
      </c>
      <c r="F17" s="33">
        <v>82.512836039527443</v>
      </c>
      <c r="G17" s="33">
        <v>68.985896648471595</v>
      </c>
      <c r="H17" s="33">
        <v>56.69544719244977</v>
      </c>
      <c r="I17" s="39">
        <v>41.824482334045562</v>
      </c>
      <c r="J17" s="87">
        <f t="shared" si="2"/>
        <v>196.35822174067249</v>
      </c>
      <c r="K17" s="87">
        <f t="shared" si="7"/>
        <v>-3.6417782593275092</v>
      </c>
      <c r="L17" t="str">
        <f t="shared" si="9"/>
        <v xml:space="preserve">    92.4543753261995, 91.3565140413556, 89.5850742653483, 82.5128360395274, 68.9858966484716, 56.6954471924498, 41.8244823340456,</v>
      </c>
      <c r="M17" s="28"/>
      <c r="N17" s="15" t="s">
        <v>9</v>
      </c>
      <c r="O17" s="47">
        <v>4.8721314050623912</v>
      </c>
      <c r="P17" s="33">
        <v>4.566630502051642</v>
      </c>
      <c r="Q17" s="33">
        <v>4.595819603821341</v>
      </c>
      <c r="R17" s="33">
        <v>5.4865841593537246</v>
      </c>
      <c r="S17" s="33">
        <v>9.4033070512323178</v>
      </c>
      <c r="T17" s="33">
        <v>11.22910915454459</v>
      </c>
      <c r="U17" s="39">
        <v>7.0872842326780132</v>
      </c>
      <c r="V17" s="7">
        <f t="shared" si="8"/>
        <v>25.632764493378595</v>
      </c>
      <c r="X17" t="str">
        <f t="shared" si="10"/>
        <v xml:space="preserve">    4.87213140506239, 4.56663050205164, 4.59581960382134, 5.48658415935372, 9.40330705123232, 11.2291091545446, 7.08728423267801,</v>
      </c>
    </row>
    <row r="18" spans="1:24" x14ac:dyDescent="0.2">
      <c r="A18" s="28"/>
      <c r="B18" s="15" t="s">
        <v>10</v>
      </c>
      <c r="C18" s="47">
        <v>91.825073457959562</v>
      </c>
      <c r="D18" s="33">
        <v>90.493686508245446</v>
      </c>
      <c r="E18" s="33">
        <v>89.726626816264272</v>
      </c>
      <c r="F18" s="33">
        <v>84.136290106315798</v>
      </c>
      <c r="G18" s="33">
        <v>76.029665769888439</v>
      </c>
      <c r="H18" s="33">
        <v>59.290945423403308</v>
      </c>
      <c r="I18" s="39">
        <v>48.890434461659119</v>
      </c>
      <c r="J18" s="87">
        <f t="shared" si="2"/>
        <v>210.12256325025879</v>
      </c>
      <c r="K18" s="87">
        <f t="shared" si="7"/>
        <v>10.122563250258793</v>
      </c>
      <c r="L18" t="str">
        <f t="shared" si="9"/>
        <v xml:space="preserve">    91.8250734579596, 90.4936865082454, 89.7266268162643, 84.1362901063158, 76.0296657698884, 59.2909454234033, 48.8904344616591,</v>
      </c>
      <c r="M18" s="28"/>
      <c r="N18" s="15" t="s">
        <v>10</v>
      </c>
      <c r="O18" s="47">
        <v>4.2415084119727338</v>
      </c>
      <c r="P18" s="33">
        <v>4.8682464400031966</v>
      </c>
      <c r="Q18" s="33">
        <v>4.0914909670817723</v>
      </c>
      <c r="R18" s="33">
        <v>5.1344824476013766</v>
      </c>
      <c r="S18" s="33">
        <v>7.7267699373386103</v>
      </c>
      <c r="T18" s="33">
        <v>10.83087152107467</v>
      </c>
      <c r="U18" s="39">
        <v>10.455091326944631</v>
      </c>
      <c r="V18" s="7">
        <f t="shared" si="8"/>
        <v>26.996893158130042</v>
      </c>
      <c r="X18" t="str">
        <f t="shared" si="10"/>
        <v xml:space="preserve">    4.24150841197273, 4.8682464400032, 4.09149096708177, 5.13448244760138, 7.72676993733861, 10.8308715210747, 10.4550913269446,</v>
      </c>
    </row>
    <row r="19" spans="1:24" x14ac:dyDescent="0.2">
      <c r="A19" s="28"/>
      <c r="B19" s="15" t="s">
        <v>11</v>
      </c>
      <c r="C19" s="47">
        <v>92.888960977171095</v>
      </c>
      <c r="D19" s="33">
        <v>91.34361600590546</v>
      </c>
      <c r="E19" s="33">
        <v>89.26929010343224</v>
      </c>
      <c r="F19" s="33">
        <v>82.152682981686695</v>
      </c>
      <c r="G19" s="33">
        <v>69.036133530566886</v>
      </c>
      <c r="H19" s="33">
        <v>56.101162928168343</v>
      </c>
      <c r="I19" s="39">
        <v>40.81225327785419</v>
      </c>
      <c r="J19" s="87">
        <f t="shared" si="2"/>
        <v>194.7392392018962</v>
      </c>
      <c r="K19" s="87">
        <f t="shared" si="7"/>
        <v>-5.2607607981038029</v>
      </c>
      <c r="L19" t="str">
        <f t="shared" si="9"/>
        <v xml:space="preserve">    92.8889609771711, 91.3436160059055, 89.2692901034322, 82.1526829816867, 69.0361335305669, 56.1011629281683, 40.8122532778542,</v>
      </c>
      <c r="M19" s="28"/>
      <c r="N19" s="15" t="s">
        <v>11</v>
      </c>
      <c r="O19" s="47">
        <v>4.0056415852082417</v>
      </c>
      <c r="P19" s="33">
        <v>4.6860791356220766</v>
      </c>
      <c r="Q19" s="33">
        <v>4.8618729743627327</v>
      </c>
      <c r="R19" s="33">
        <v>5.6220699746800573</v>
      </c>
      <c r="S19" s="33">
        <v>9.6487331409396457</v>
      </c>
      <c r="T19" s="33">
        <v>11.38246793929993</v>
      </c>
      <c r="U19" s="39">
        <v>8.631583978180819</v>
      </c>
      <c r="V19" s="7">
        <f t="shared" si="8"/>
        <v>27.448155258502794</v>
      </c>
      <c r="X19" t="str">
        <f t="shared" si="10"/>
        <v xml:space="preserve">    4.00564158520824, 4.68607913562208, 4.86187297436273, 5.62206997468006, 9.64873314093965, 11.3824679392999, 8.63158397818082,</v>
      </c>
    </row>
    <row r="20" spans="1:24" x14ac:dyDescent="0.2">
      <c r="A20" s="28"/>
      <c r="B20" s="15" t="s">
        <v>12</v>
      </c>
      <c r="C20" s="47">
        <v>93.179964071200146</v>
      </c>
      <c r="D20" s="33">
        <v>91.539174214309824</v>
      </c>
      <c r="E20" s="33">
        <v>89.421843326211004</v>
      </c>
      <c r="F20" s="33">
        <v>82.593508594365005</v>
      </c>
      <c r="G20" s="33">
        <v>68.565818043408683</v>
      </c>
      <c r="H20" s="33">
        <v>56.573785240356763</v>
      </c>
      <c r="I20" s="39">
        <v>40.769911504424783</v>
      </c>
      <c r="J20" s="87">
        <f t="shared" si="2"/>
        <v>195.04921315639987</v>
      </c>
      <c r="K20" s="87">
        <f t="shared" si="7"/>
        <v>-4.9507868436001274</v>
      </c>
      <c r="L20" t="str">
        <f t="shared" si="9"/>
        <v xml:space="preserve">    93.1799640712001, 91.5391742143098, 89.421843326211, 82.593508594365, 68.5658180434087, 56.5737852403568, 40.7699115044248,</v>
      </c>
      <c r="M20" s="28"/>
      <c r="N20" s="15" t="s">
        <v>12</v>
      </c>
      <c r="O20" s="47">
        <v>3.7626711848679268</v>
      </c>
      <c r="P20" s="33">
        <v>4.5177828393451094</v>
      </c>
      <c r="Q20" s="33">
        <v>4.6255127280861856</v>
      </c>
      <c r="R20" s="33">
        <v>6.0838958104808709</v>
      </c>
      <c r="S20" s="33">
        <v>10.361821041566561</v>
      </c>
      <c r="T20" s="33">
        <v>10.8008418614394</v>
      </c>
      <c r="U20" s="39">
        <v>7.3496425076960223</v>
      </c>
      <c r="V20" s="7">
        <f t="shared" si="8"/>
        <v>26.43314829418042</v>
      </c>
      <c r="X20" t="str">
        <f t="shared" si="10"/>
        <v xml:space="preserve">    3.76267118486793, 4.51778283934511, 4.62551272808619, 6.08389581048087, 10.3618210415666, 10.8008418614394, 7.34964250769602,</v>
      </c>
    </row>
    <row r="21" spans="1:24" ht="14.25" customHeight="1" thickBot="1" x14ac:dyDescent="0.25">
      <c r="A21" s="29"/>
      <c r="B21" s="16" t="s">
        <v>13</v>
      </c>
      <c r="C21" s="48">
        <v>92.920457789427246</v>
      </c>
      <c r="D21" s="40">
        <v>91.320129643566688</v>
      </c>
      <c r="E21" s="40">
        <v>89.617251590988417</v>
      </c>
      <c r="F21" s="40">
        <v>81.152440765058529</v>
      </c>
      <c r="G21" s="40">
        <v>69.836368250013692</v>
      </c>
      <c r="H21" s="40">
        <v>56.321923200027683</v>
      </c>
      <c r="I21" s="41">
        <v>42.105355582660749</v>
      </c>
      <c r="J21" s="87">
        <f t="shared" si="2"/>
        <v>196.19263386073121</v>
      </c>
      <c r="K21" s="87">
        <f t="shared" si="7"/>
        <v>-3.8073661392687939</v>
      </c>
      <c r="L21" t="str">
        <f t="shared" si="9"/>
        <v xml:space="preserve">    92.9204577894272, 91.3201296435667, 89.6172515909884, 81.1524407650585, 69.8363682500137, 56.3219232000277, 42.1053555826607,</v>
      </c>
      <c r="M21" s="29"/>
      <c r="N21" s="16" t="s">
        <v>13</v>
      </c>
      <c r="O21" s="48">
        <v>3.8897533095580892</v>
      </c>
      <c r="P21" s="40">
        <v>4.4761940559613747</v>
      </c>
      <c r="Q21" s="40">
        <v>5.3257787868042286</v>
      </c>
      <c r="R21" s="40">
        <v>6.3265342267106277</v>
      </c>
      <c r="S21" s="40">
        <v>9.4196400756846899</v>
      </c>
      <c r="T21" s="40">
        <v>11.093095514062069</v>
      </c>
      <c r="U21" s="41">
        <v>7.6202429299012664</v>
      </c>
      <c r="V21" s="7">
        <f t="shared" si="8"/>
        <v>26.602454855351223</v>
      </c>
      <c r="X21" t="str">
        <f t="shared" si="10"/>
        <v xml:space="preserve">    3.88975330955809, 4.47619405596137, 5.32577878680423, 6.32653422671063, 9.41964007568469, 11.0930955140621, 7.62024292990127,</v>
      </c>
    </row>
    <row r="22" spans="1:24" ht="15" thickBot="1" x14ac:dyDescent="0.25">
      <c r="J22" s="7"/>
      <c r="K22" s="7"/>
      <c r="V22" s="7"/>
    </row>
    <row r="23" spans="1:24" ht="15" thickBot="1" x14ac:dyDescent="0.25">
      <c r="A23" s="3" t="s">
        <v>3</v>
      </c>
      <c r="B23" s="5" t="s">
        <v>0</v>
      </c>
      <c r="C23" s="4">
        <v>1</v>
      </c>
      <c r="D23" s="4">
        <v>0.75</v>
      </c>
      <c r="E23" s="4">
        <v>0.5</v>
      </c>
      <c r="F23" s="4">
        <v>0.3</v>
      </c>
      <c r="G23" s="4">
        <v>0.2</v>
      </c>
      <c r="H23" s="4">
        <v>0.1</v>
      </c>
      <c r="I23" s="5">
        <v>0.05</v>
      </c>
      <c r="J23" s="7" t="s">
        <v>20</v>
      </c>
      <c r="K23" s="7"/>
      <c r="M23" s="3" t="s">
        <v>5</v>
      </c>
      <c r="N23" s="5" t="s">
        <v>0</v>
      </c>
      <c r="O23" s="4">
        <v>1</v>
      </c>
      <c r="P23" s="4">
        <v>0.75</v>
      </c>
      <c r="Q23" s="4">
        <v>0.5</v>
      </c>
      <c r="R23" s="4">
        <v>0.3</v>
      </c>
      <c r="S23" s="4">
        <v>0.2</v>
      </c>
      <c r="T23" s="4">
        <v>0.1</v>
      </c>
      <c r="U23" s="5">
        <v>0.05</v>
      </c>
      <c r="V23" s="7" t="s">
        <v>20</v>
      </c>
    </row>
    <row r="24" spans="1:24" ht="15" thickBot="1" x14ac:dyDescent="0.25">
      <c r="A24" s="22" t="s">
        <v>1</v>
      </c>
      <c r="B24" s="23"/>
      <c r="C24" s="11">
        <v>92.567111769713335</v>
      </c>
      <c r="D24" s="11">
        <v>90.835858608343599</v>
      </c>
      <c r="E24" s="11">
        <v>89.217505339533233</v>
      </c>
      <c r="F24" s="11">
        <v>83.237245964288078</v>
      </c>
      <c r="G24" s="11">
        <v>75.380430844191011</v>
      </c>
      <c r="H24" s="11">
        <v>58.994367187597383</v>
      </c>
      <c r="I24" s="12">
        <v>43.622535641382179</v>
      </c>
      <c r="J24" s="7">
        <f t="shared" ref="J13:J43" si="11">C24*(1-1)^2+D24*(1-0.75)^2+E24*(1-0.5)^2+F24*(1-0.3)^2+G24*(1-0.2)^2+H24*(1-0.1)^2+I24*(1-0.05)^2</f>
        <v>204.1661195989895</v>
      </c>
      <c r="K24" s="7"/>
      <c r="L24" t="str">
        <f>"    "&amp;_xlfn.TEXTJOIN(", ",TRUE,C24:I24)&amp;","</f>
        <v xml:space="preserve">    92.5671117697133, 90.8358586083436, 89.2175053395332, 83.2372459642881, 75.380430844191, 58.9943671875974, 43.6225356413822,</v>
      </c>
      <c r="M24" s="22" t="s">
        <v>1</v>
      </c>
      <c r="N24" s="23"/>
      <c r="O24">
        <v>3.88093621561358</v>
      </c>
      <c r="P24">
        <v>4.8164746829677396</v>
      </c>
      <c r="Q24">
        <v>5.2250608386616522</v>
      </c>
      <c r="R24">
        <v>5.6675721086724113</v>
      </c>
      <c r="S24">
        <v>8.3263283482936075</v>
      </c>
      <c r="T24">
        <v>10.49020927094638</v>
      </c>
      <c r="U24" s="8">
        <v>11.060437347759546</v>
      </c>
      <c r="V24" s="7">
        <f t="shared" si="8"/>
        <v>28.192369569327848</v>
      </c>
      <c r="X24" t="str">
        <f>"    "&amp;_xlfn.TEXTJOIN(", ",TRUE,O24:U24)&amp;","</f>
        <v xml:space="preserve">    3.88093621561358, 4.81647468296774, 5.22506083866165, 5.66757210867241, 8.32632834829361, 10.4902092709464, 11.0604373477595,</v>
      </c>
    </row>
    <row r="25" spans="1:24" ht="15" thickBot="1" x14ac:dyDescent="0.25">
      <c r="A25" s="3" t="s">
        <v>14</v>
      </c>
      <c r="B25" s="18" t="s">
        <v>15</v>
      </c>
      <c r="C25" s="88">
        <v>92.634360306061652</v>
      </c>
      <c r="D25" s="88">
        <v>91.367171760352463</v>
      </c>
      <c r="E25" s="88">
        <v>89.807764122417694</v>
      </c>
      <c r="F25" s="88">
        <v>83.668381015272601</v>
      </c>
      <c r="G25" s="88">
        <v>74.961057093698841</v>
      </c>
      <c r="H25" s="88">
        <v>57.537246071209267</v>
      </c>
      <c r="I25" s="88">
        <v>39.636581233188579</v>
      </c>
      <c r="J25" s="87">
        <f t="shared" si="11"/>
        <v>199.51215638370945</v>
      </c>
      <c r="K25" s="7"/>
      <c r="L25" t="str">
        <f>"    "&amp;_xlfn.TEXTJOIN(", ",TRUE,C35:I35)&amp;","</f>
        <v xml:space="preserve">    92.8495446566408, 90.9551103272234, 89.7997132230941, 82.7184038152947, 70.9732024379436, 55.4965092105018, 33.3798640867687,</v>
      </c>
      <c r="M25" s="3" t="s">
        <v>14</v>
      </c>
      <c r="N25" s="18" t="s">
        <v>15</v>
      </c>
      <c r="O25" s="89">
        <v>4.1980694448073601</v>
      </c>
      <c r="P25" s="89">
        <v>4.8000085157709966</v>
      </c>
      <c r="Q25" s="89">
        <v>4.807249183922643</v>
      </c>
      <c r="R25" s="89">
        <v>5.7314440898609709</v>
      </c>
      <c r="S25" s="89">
        <v>8.4269742698612422</v>
      </c>
      <c r="T25" s="89">
        <v>11.27243511685916</v>
      </c>
      <c r="U25" s="89">
        <v>12.42523596392787</v>
      </c>
      <c r="V25" s="7">
        <f>O35*(1-1)^2+P35*(1-0.75)^2+Q35*(1-0.5)^2+R35*(1-0.3)^2+S35*(1-0.2)^2+T35*(1-0.1)^2+U35*(1-0.05)^2</f>
        <v>28.490224391994182</v>
      </c>
      <c r="X25" t="str">
        <f>"    "&amp;_xlfn.TEXTJOIN(", ",TRUE,O35:U35)&amp;","</f>
        <v xml:space="preserve">    4.32380811626763, 5.17653472601556, 5.36463040637133, 6.78512542194208, 9.5415257574366, 11.4528195877381, 8.99441724370801,</v>
      </c>
    </row>
    <row r="26" spans="1:24" ht="15" thickBot="1" x14ac:dyDescent="0.25">
      <c r="A26" s="24" t="s">
        <v>19</v>
      </c>
      <c r="B26" s="25"/>
      <c r="C26" s="25"/>
      <c r="D26" s="25"/>
      <c r="E26" s="25"/>
      <c r="F26" s="25"/>
      <c r="G26" s="25"/>
      <c r="H26" s="25"/>
      <c r="I26" s="26"/>
      <c r="J26" s="87"/>
      <c r="K26" s="7"/>
      <c r="M26" s="24" t="s">
        <v>19</v>
      </c>
      <c r="N26" s="25"/>
      <c r="O26" s="25"/>
      <c r="P26" s="25"/>
      <c r="Q26" s="25"/>
      <c r="R26" s="25"/>
      <c r="S26" s="25"/>
      <c r="T26" s="25"/>
      <c r="U26" s="26"/>
      <c r="V26" s="7"/>
    </row>
    <row r="27" spans="1:24" x14ac:dyDescent="0.2">
      <c r="A27" s="27" t="s">
        <v>6</v>
      </c>
      <c r="B27" s="6" t="s">
        <v>7</v>
      </c>
      <c r="C27" s="68">
        <v>92.96323555130968</v>
      </c>
      <c r="D27" s="66">
        <v>91.80325371396718</v>
      </c>
      <c r="E27" s="66">
        <v>90.995531028940363</v>
      </c>
      <c r="F27" s="66">
        <v>86.150638545748393</v>
      </c>
      <c r="G27" s="66">
        <v>78.933958858292755</v>
      </c>
      <c r="H27" s="66">
        <v>60.260765004080788</v>
      </c>
      <c r="I27" s="67">
        <v>45.044331509069188</v>
      </c>
      <c r="J27" s="87">
        <f t="shared" si="11"/>
        <v>210.6818615113225</v>
      </c>
      <c r="K27" s="7"/>
      <c r="L27" s="61" t="str">
        <f>"    "&amp;_xlfn.TEXTJOIN(", ",TRUE,C27:I27)&amp;","</f>
        <v xml:space="preserve">    92.9632355513097, 91.8032537139672, 90.9955310289404, 86.1506385457484, 78.9339588582928, 60.2607650040808, 45.0443315090692,</v>
      </c>
      <c r="M27" s="24" t="s">
        <v>7</v>
      </c>
      <c r="N27" s="26"/>
      <c r="O27" s="68">
        <v>4.1031700907688498</v>
      </c>
      <c r="P27" s="66">
        <v>4.3819896696646206</v>
      </c>
      <c r="Q27" s="66">
        <v>4.4566365037418443</v>
      </c>
      <c r="R27" s="66">
        <v>5.549664286055207</v>
      </c>
      <c r="S27" s="66">
        <v>7.951875415415663</v>
      </c>
      <c r="T27" s="66">
        <v>10.699516362456531</v>
      </c>
      <c r="U27" s="67">
        <v>9.5778689736980525</v>
      </c>
      <c r="V27" s="62">
        <f t="shared" ref="V27:V33" si="12">O27*(1-1)^2+P27*(1-0.75)^2+Q27*(1-0.5)^2+R27*(1-0.3)^2+S27*(1-0.2)^2+T27*(1-0.1)^2+U27*(1-0.05)^2</f>
        <v>26.50720424867486</v>
      </c>
      <c r="X27" s="61" t="str">
        <f>"    "&amp;_xlfn.TEXTJOIN(", ",TRUE,O37:U37)&amp;","</f>
        <v xml:space="preserve">    3.9234336378018, 4.73781021447998, 5.56267461217704, 5.92210191907213, 8.54501666991629, 11.3452787410757, 10.8742103045823,</v>
      </c>
    </row>
    <row r="28" spans="1:24" x14ac:dyDescent="0.2">
      <c r="A28" s="28"/>
      <c r="B28" s="1" t="s">
        <v>8</v>
      </c>
      <c r="C28" s="69">
        <v>92.84343798522066</v>
      </c>
      <c r="D28" s="33">
        <v>91.258497728617058</v>
      </c>
      <c r="E28" s="33">
        <v>90.834764973224679</v>
      </c>
      <c r="F28" s="33">
        <v>85.472821812474351</v>
      </c>
      <c r="G28" s="33">
        <v>76.539810116848514</v>
      </c>
      <c r="H28" s="33">
        <v>59.228552177333974</v>
      </c>
      <c r="I28" s="63">
        <v>44.050172185794359</v>
      </c>
      <c r="J28" s="87">
        <f t="shared" si="11"/>
        <v>207.00991617556016</v>
      </c>
      <c r="K28" s="7"/>
      <c r="L28" s="61" t="str">
        <f t="shared" ref="L28:L33" si="13">"    "&amp;_xlfn.TEXTJOIN(", ",TRUE,C28:I28)&amp;","</f>
        <v xml:space="preserve">    92.8434379852207, 91.2584977286171, 90.8347649732247, 85.4728218124744, 76.5398101168485, 59.228552177334, 44.0501721857944,</v>
      </c>
      <c r="M28" s="20" t="s">
        <v>8</v>
      </c>
      <c r="N28" s="21"/>
      <c r="O28" s="69">
        <v>3.9848103676551947</v>
      </c>
      <c r="P28" s="33">
        <v>5.0415040175017625</v>
      </c>
      <c r="Q28" s="33">
        <v>4.8636868637063886</v>
      </c>
      <c r="R28" s="33">
        <v>4.8578469583990271</v>
      </c>
      <c r="S28" s="33">
        <v>9.0373801875630004</v>
      </c>
      <c r="T28" s="33">
        <v>10.82667763062582</v>
      </c>
      <c r="U28" s="63">
        <v>9.8229817561657633</v>
      </c>
      <c r="V28" s="62">
        <f t="shared" si="12"/>
        <v>27.330133962422817</v>
      </c>
      <c r="X28" s="61" t="str">
        <f t="shared" ref="X28:X33" si="14">"    "&amp;_xlfn.TEXTJOIN(", ",TRUE,O38:U38)&amp;","</f>
        <v xml:space="preserve">    4.21609448804111, 4.9440580416409, 5.4253643111728, 6.12276266832885, 10.1959301311199, 12.252019099932, 11.380879979123,</v>
      </c>
    </row>
    <row r="29" spans="1:24" x14ac:dyDescent="0.2">
      <c r="A29" s="28"/>
      <c r="B29" s="1" t="s">
        <v>9</v>
      </c>
      <c r="C29" s="69">
        <v>93.097541536451061</v>
      </c>
      <c r="D29" s="33">
        <v>91.340725850692223</v>
      </c>
      <c r="E29" s="33">
        <v>90.526895572819726</v>
      </c>
      <c r="F29" s="33">
        <v>84.722641177561869</v>
      </c>
      <c r="G29" s="33">
        <v>75.625286312457675</v>
      </c>
      <c r="H29" s="33">
        <v>58.774723699495468</v>
      </c>
      <c r="I29" s="63">
        <v>45.187745573089735</v>
      </c>
      <c r="J29" s="87">
        <f t="shared" si="11"/>
        <v>206.64426325215624</v>
      </c>
      <c r="K29" s="7"/>
      <c r="L29" s="61" t="str">
        <f t="shared" si="13"/>
        <v xml:space="preserve">    93.0975415364511, 91.3407258506922, 90.5268955728197, 84.7226411775619, 75.6252863124577, 58.7747236994955, 45.1877455730897,</v>
      </c>
      <c r="M29" s="20" t="s">
        <v>9</v>
      </c>
      <c r="N29" s="21"/>
      <c r="O29" s="69">
        <v>4.0488912226924185</v>
      </c>
      <c r="P29" s="33">
        <v>4.7154840590924731</v>
      </c>
      <c r="Q29" s="33">
        <v>4.8205444660299568</v>
      </c>
      <c r="R29" s="33">
        <v>6.0884628423497498</v>
      </c>
      <c r="S29" s="33">
        <v>8.1444272262115405</v>
      </c>
      <c r="T29" s="33">
        <v>11.01086659085953</v>
      </c>
      <c r="U29" s="63">
        <v>11.02021395144688</v>
      </c>
      <c r="V29" s="62">
        <f t="shared" si="12"/>
        <v>28.560179117504561</v>
      </c>
      <c r="X29" s="61" t="str">
        <f t="shared" si="14"/>
        <v xml:space="preserve">    5.4013666957263, 5.2467571841512, 5.04743714232379, 5.84859882982666, 9.89664995515233, 11.8550632394489, 8.81597585301377,</v>
      </c>
    </row>
    <row r="30" spans="1:24" x14ac:dyDescent="0.2">
      <c r="A30" s="28"/>
      <c r="B30" s="1" t="s">
        <v>10</v>
      </c>
      <c r="C30" s="69">
        <v>92.473062615124746</v>
      </c>
      <c r="D30" s="33">
        <v>91.178834369756856</v>
      </c>
      <c r="E30" s="33">
        <v>89.527047919888759</v>
      </c>
      <c r="F30" s="33">
        <v>83.538458760496368</v>
      </c>
      <c r="G30" s="33">
        <v>73.330265687939317</v>
      </c>
      <c r="H30" s="33">
        <v>57.239013995595201</v>
      </c>
      <c r="I30" s="63">
        <v>46.484848989524899</v>
      </c>
      <c r="J30" s="87">
        <f t="shared" si="11"/>
        <v>204.26183151048471</v>
      </c>
      <c r="K30" s="7"/>
      <c r="L30" s="61" t="str">
        <f t="shared" si="13"/>
        <v xml:space="preserve">    92.4730626151247, 91.1788343697569, 89.5270479198888, 83.5384587604964, 73.3302656879393, 57.2390139955952, 46.4848489895249,</v>
      </c>
      <c r="M30" s="20" t="s">
        <v>10</v>
      </c>
      <c r="N30" s="21"/>
      <c r="O30" s="69">
        <v>4.2498568193993442</v>
      </c>
      <c r="P30" s="33">
        <v>5.1148926312490506</v>
      </c>
      <c r="Q30" s="33">
        <v>5.1219106196598094</v>
      </c>
      <c r="R30" s="33">
        <v>5.7419069341837856</v>
      </c>
      <c r="S30" s="33">
        <v>8.4896933094772518</v>
      </c>
      <c r="T30" s="33">
        <v>11.66584979557058</v>
      </c>
      <c r="U30" s="63">
        <v>10.9766224473818</v>
      </c>
      <c r="V30" s="62">
        <f t="shared" si="12"/>
        <v>29.202836653357757</v>
      </c>
      <c r="X30" s="61" t="str">
        <f t="shared" si="14"/>
        <v xml:space="preserve">    4.59960967099606, 5.24603026101975, 4.40664598334754, 5.44452871481557, 8.18210627819214, 11.1642639429352, 11.3826170789026,</v>
      </c>
    </row>
    <row r="31" spans="1:24" x14ac:dyDescent="0.2">
      <c r="A31" s="28"/>
      <c r="B31" s="1" t="s">
        <v>11</v>
      </c>
      <c r="C31" s="69">
        <v>93.038631283009011</v>
      </c>
      <c r="D31" s="33">
        <v>91.751764989494845</v>
      </c>
      <c r="E31" s="33">
        <v>90.649128843430148</v>
      </c>
      <c r="F31" s="33">
        <v>85.197397958820545</v>
      </c>
      <c r="G31" s="33">
        <v>77.632826714955911</v>
      </c>
      <c r="H31" s="33">
        <v>60.908396188520364</v>
      </c>
      <c r="I31" s="63">
        <v>45.424747029089552</v>
      </c>
      <c r="J31" s="87">
        <f t="shared" si="11"/>
        <v>210.16013672654967</v>
      </c>
      <c r="K31" s="7"/>
      <c r="L31" s="61" t="str">
        <f t="shared" si="13"/>
        <v xml:space="preserve">    93.038631283009, 91.7517649894948, 90.6491288434301, 85.1973979588205, 77.6328267149559, 60.9083961885204, 45.4247470290896,</v>
      </c>
      <c r="M31" s="20" t="s">
        <v>11</v>
      </c>
      <c r="N31" s="21"/>
      <c r="O31" s="69">
        <v>4.0393078062748922</v>
      </c>
      <c r="P31" s="33">
        <v>4.4767487721796133</v>
      </c>
      <c r="Q31" s="33">
        <v>5.1395400019640043</v>
      </c>
      <c r="R31" s="33">
        <v>5.6087035258080977</v>
      </c>
      <c r="S31" s="33">
        <v>8.0317795380440451</v>
      </c>
      <c r="T31" s="33">
        <v>10.99254902344971</v>
      </c>
      <c r="U31" s="63">
        <v>10.7438068711432</v>
      </c>
      <c r="V31" s="62">
        <f t="shared" si="12"/>
        <v>28.053535840947387</v>
      </c>
      <c r="X31" s="61" t="str">
        <f t="shared" si="14"/>
        <v xml:space="preserve">    4.39170143295316, 5.10120195947316, 5.29048568715457, 5.96243422915961, 10.2659668726491, 12.3162695108512, 10.1647555296045,</v>
      </c>
    </row>
    <row r="32" spans="1:24" x14ac:dyDescent="0.2">
      <c r="A32" s="28"/>
      <c r="B32" s="1" t="s">
        <v>12</v>
      </c>
      <c r="C32" s="69">
        <v>92.557386156890715</v>
      </c>
      <c r="D32" s="33">
        <v>91.573795924533258</v>
      </c>
      <c r="E32" s="33">
        <v>89.995851040246961</v>
      </c>
      <c r="F32" s="33">
        <v>83.91392831367736</v>
      </c>
      <c r="G32" s="33">
        <v>74.257258265804126</v>
      </c>
      <c r="H32" s="33">
        <v>58.083053406179708</v>
      </c>
      <c r="I32" s="63">
        <v>46.153958153288798</v>
      </c>
      <c r="J32" s="87">
        <f t="shared" si="11"/>
        <v>205.56601566151031</v>
      </c>
      <c r="K32" s="7"/>
      <c r="L32" s="61" t="str">
        <f t="shared" si="13"/>
        <v xml:space="preserve">    92.5573861568907, 91.5737959245333, 89.995851040247, 83.9139283136774, 74.2572582658041, 58.0830534061797, 46.1539581532888,</v>
      </c>
      <c r="M32" s="20" t="s">
        <v>12</v>
      </c>
      <c r="N32" s="21"/>
      <c r="O32" s="69">
        <v>4.5877413495659516</v>
      </c>
      <c r="P32" s="33">
        <v>4.5472667276737431</v>
      </c>
      <c r="Q32" s="33">
        <v>5.0843295861503011</v>
      </c>
      <c r="R32" s="33">
        <v>6.0919358448925776</v>
      </c>
      <c r="S32" s="33">
        <v>9.1632465675778878</v>
      </c>
      <c r="T32" s="33">
        <v>10.93577962062149</v>
      </c>
      <c r="U32" s="63">
        <v>10.29693094356143</v>
      </c>
      <c r="V32" s="62">
        <f t="shared" si="12"/>
        <v>28.55577460353199</v>
      </c>
      <c r="X32" s="61" t="str">
        <f t="shared" si="14"/>
        <v xml:space="preserve">    4.21354333170479, 4.91255669215063, 4.99625094655286, 6.3022486051283, 11.1814657114316, 11.2924206642834, 8.88442231909002,</v>
      </c>
    </row>
    <row r="33" spans="1:24" ht="15" thickBot="1" x14ac:dyDescent="0.25">
      <c r="A33" s="29"/>
      <c r="B33" s="2" t="s">
        <v>13</v>
      </c>
      <c r="C33" s="70">
        <v>93.08408773285916</v>
      </c>
      <c r="D33" s="64">
        <v>91.486544414810851</v>
      </c>
      <c r="E33" s="64">
        <v>90.632045704799964</v>
      </c>
      <c r="F33" s="64">
        <v>86.451964018195156</v>
      </c>
      <c r="G33" s="64">
        <v>78.467836711337796</v>
      </c>
      <c r="H33" s="64">
        <v>60.285491406124883</v>
      </c>
      <c r="I33" s="65">
        <v>45.733902793042155</v>
      </c>
      <c r="J33" s="87">
        <f t="shared" si="11"/>
        <v>211.0628936259792</v>
      </c>
      <c r="K33" s="7"/>
      <c r="L33" s="61" t="str">
        <f t="shared" si="13"/>
        <v xml:space="preserve">    93.0840877328592, 91.4865444148109, 90.6320457048, 86.4519640181952, 78.4678367113378, 60.2854914061249, 45.7339027930422,</v>
      </c>
      <c r="M33" s="22" t="s">
        <v>13</v>
      </c>
      <c r="N33" s="23"/>
      <c r="O33" s="70">
        <v>4.3902902206625578</v>
      </c>
      <c r="P33" s="64">
        <v>4.4449743772020902</v>
      </c>
      <c r="Q33" s="64">
        <v>4.903731183166351</v>
      </c>
      <c r="R33" s="64">
        <v>5.215737796271755</v>
      </c>
      <c r="S33" s="64">
        <v>8.681087444216999</v>
      </c>
      <c r="T33" s="64">
        <v>11.15940525666254</v>
      </c>
      <c r="U33" s="65">
        <v>10.46396524321845</v>
      </c>
      <c r="V33" s="62">
        <f t="shared" si="12"/>
        <v>28.098198068740068</v>
      </c>
      <c r="X33" s="61" t="str">
        <f t="shared" si="14"/>
        <v xml:space="preserve">    4.35093533936714, 4.88789445656088, 5.94309828797334, 6.79330275072362, 10.0206932587391, 11.5946204060962, 9.21762075483975,</v>
      </c>
    </row>
    <row r="34" spans="1:24" ht="15" thickBot="1" x14ac:dyDescent="0.25">
      <c r="J34" s="87"/>
    </row>
    <row r="35" spans="1:24" ht="15" thickBot="1" x14ac:dyDescent="0.25">
      <c r="A35" s="3" t="s">
        <v>14</v>
      </c>
      <c r="B35" s="17" t="s">
        <v>17</v>
      </c>
      <c r="C35" s="49">
        <v>92.849544656640788</v>
      </c>
      <c r="D35" s="44">
        <v>90.955110327223437</v>
      </c>
      <c r="E35" s="44">
        <v>89.799713223094059</v>
      </c>
      <c r="F35" s="44">
        <v>82.718403815294721</v>
      </c>
      <c r="G35" s="44">
        <v>70.973202437943598</v>
      </c>
      <c r="H35" s="44">
        <v>55.496509210501756</v>
      </c>
      <c r="I35" s="45">
        <v>33.37986408676867</v>
      </c>
      <c r="J35" s="87">
        <f t="shared" si="11"/>
        <v>189.16698992981847</v>
      </c>
      <c r="K35" s="7"/>
      <c r="L35" s="51" t="str">
        <f>"    "&amp;_xlfn.TEXTJOIN(", ",TRUE,C35:I35)&amp;","</f>
        <v xml:space="preserve">    92.8495446566408, 90.9551103272234, 89.7997132230941, 82.7184038152947, 70.9732024379436, 55.4965092105018, 33.3798640867687,</v>
      </c>
      <c r="M35" s="3" t="s">
        <v>14</v>
      </c>
      <c r="N35" s="17" t="s">
        <v>17</v>
      </c>
      <c r="O35" s="49">
        <v>4.3238081162676254</v>
      </c>
      <c r="P35" s="44">
        <v>5.1765347260155643</v>
      </c>
      <c r="Q35" s="44">
        <v>5.3646304063713268</v>
      </c>
      <c r="R35" s="44">
        <v>6.7851254219420811</v>
      </c>
      <c r="S35" s="44">
        <v>9.5415257574366041</v>
      </c>
      <c r="T35" s="44">
        <v>11.452819587738091</v>
      </c>
      <c r="U35" s="45">
        <v>8.9944172437080105</v>
      </c>
      <c r="V35" s="52">
        <f t="shared" ref="V35:V43" si="15">O35*(1-1)^2+P35*(1-0.75)^2+Q35*(1-0.5)^2+R35*(1-0.3)^2+S35*(1-0.2)^2+T35*(1-0.1)^2+U35*(1-0.05)^2</f>
        <v>28.490224391994182</v>
      </c>
      <c r="X35" s="51" t="str">
        <f>"    "&amp;_xlfn.TEXTJOIN(", ",TRUE,O35:U35)&amp;","</f>
        <v xml:space="preserve">    4.32380811626763, 5.17653472601556, 5.36463040637133, 6.78512542194208, 9.5415257574366, 11.4528195877381, 8.99441724370801,</v>
      </c>
    </row>
    <row r="36" spans="1:24" ht="14.25" customHeight="1" thickBot="1" x14ac:dyDescent="0.25">
      <c r="A36" s="30" t="s">
        <v>16</v>
      </c>
      <c r="B36" s="31"/>
      <c r="C36" s="31"/>
      <c r="D36" s="31"/>
      <c r="E36" s="31"/>
      <c r="F36" s="31"/>
      <c r="G36" s="31"/>
      <c r="H36" s="31"/>
      <c r="I36" s="32"/>
      <c r="J36" s="87"/>
      <c r="K36" s="7"/>
      <c r="M36" s="30" t="s">
        <v>16</v>
      </c>
      <c r="N36" s="31"/>
      <c r="O36" s="31"/>
      <c r="P36" s="31"/>
      <c r="Q36" s="31"/>
      <c r="R36" s="31"/>
      <c r="S36" s="31"/>
      <c r="T36" s="31"/>
      <c r="U36" s="32"/>
      <c r="V36" s="7"/>
    </row>
    <row r="37" spans="1:24" ht="14.25" customHeight="1" x14ac:dyDescent="0.2">
      <c r="A37" s="27" t="s">
        <v>6</v>
      </c>
      <c r="B37" s="6" t="s">
        <v>7</v>
      </c>
      <c r="C37" s="58">
        <v>92.580912090091104</v>
      </c>
      <c r="D37" s="56">
        <v>91.146825659348139</v>
      </c>
      <c r="E37" s="56">
        <v>88.951653478558924</v>
      </c>
      <c r="F37" s="56">
        <v>82.365284278335764</v>
      </c>
      <c r="G37" s="56">
        <v>73.474402857199294</v>
      </c>
      <c r="H37" s="56">
        <v>57.367024343702944</v>
      </c>
      <c r="I37" s="57">
        <v>41.462375269444003</v>
      </c>
      <c r="J37" s="87">
        <f t="shared" si="11"/>
        <v>199.20428049741366</v>
      </c>
      <c r="K37" s="7"/>
      <c r="L37" t="str">
        <f>"    "&amp;_xlfn.TEXTJOIN(", ",TRUE,C37:I37)&amp;","</f>
        <v xml:space="preserve">    92.5809120900911, 91.1468256593481, 88.9516534785589, 82.3652842783358, 73.4744028571993, 57.3670243437029, 41.462375269444,</v>
      </c>
      <c r="M37" s="27" t="s">
        <v>6</v>
      </c>
      <c r="N37" s="6" t="s">
        <v>7</v>
      </c>
      <c r="O37" s="58">
        <v>3.9234336378018009</v>
      </c>
      <c r="P37" s="56">
        <v>4.737810214479981</v>
      </c>
      <c r="Q37" s="56">
        <v>5.5626746121770365</v>
      </c>
      <c r="R37" s="56">
        <v>5.9221019190721318</v>
      </c>
      <c r="S37" s="56">
        <v>8.5450166699162882</v>
      </c>
      <c r="T37" s="56">
        <v>11.345278741075679</v>
      </c>
      <c r="U37" s="57">
        <v>10.87421030458229</v>
      </c>
      <c r="V37" s="7">
        <f t="shared" si="15"/>
        <v>29.061072980697844</v>
      </c>
      <c r="X37" t="str">
        <f>"    "&amp;_xlfn.TEXTJOIN(", ",TRUE,O37:U37)&amp;","</f>
        <v xml:space="preserve">    3.9234336378018, 4.73781021447998, 5.56267461217704, 5.92210191907213, 8.54501666991629, 11.3452787410757, 10.8742103045823,</v>
      </c>
    </row>
    <row r="38" spans="1:24" ht="14.25" customHeight="1" x14ac:dyDescent="0.2">
      <c r="A38" s="28"/>
      <c r="B38" s="1" t="s">
        <v>8</v>
      </c>
      <c r="C38" s="59">
        <v>92.747527523107721</v>
      </c>
      <c r="D38" s="33">
        <v>90.979340852482594</v>
      </c>
      <c r="E38" s="33">
        <v>88.93956718685466</v>
      </c>
      <c r="F38" s="33">
        <v>81.539534700853125</v>
      </c>
      <c r="G38" s="33">
        <v>67.983747301197312</v>
      </c>
      <c r="H38" s="33">
        <v>54.482160041114383</v>
      </c>
      <c r="I38" s="53">
        <v>37.700996826663072</v>
      </c>
      <c r="J38" s="87">
        <f t="shared" si="11"/>
        <v>189.5407701455442</v>
      </c>
      <c r="K38" s="7"/>
      <c r="L38" t="str">
        <f t="shared" ref="L38:L43" si="16">"    "&amp;_xlfn.TEXTJOIN(", ",TRUE,C38:I38)&amp;","</f>
        <v xml:space="preserve">    92.7475275231077, 90.9793408524826, 88.9395671868547, 81.5395347008531, 67.9837473011973, 54.4821600411144, 37.7009968266631,</v>
      </c>
      <c r="M38" s="28"/>
      <c r="N38" s="1" t="s">
        <v>8</v>
      </c>
      <c r="O38" s="59">
        <v>4.2160944880411062</v>
      </c>
      <c r="P38" s="33">
        <v>4.9440580416409006</v>
      </c>
      <c r="Q38" s="33">
        <v>5.4253643111727961</v>
      </c>
      <c r="R38" s="33">
        <v>6.1227626683288472</v>
      </c>
      <c r="S38" s="33">
        <v>10.19593013111994</v>
      </c>
      <c r="T38" s="33">
        <v>12.252019099932001</v>
      </c>
      <c r="U38" s="53">
        <v>11.380879979122991</v>
      </c>
      <c r="V38" s="7">
        <f t="shared" si="15"/>
        <v>31.386273348897078</v>
      </c>
      <c r="X38" t="str">
        <f t="shared" ref="X38:X43" si="17">"    "&amp;_xlfn.TEXTJOIN(", ",TRUE,O38:U38)&amp;","</f>
        <v xml:space="preserve">    4.21609448804111, 4.9440580416409, 5.4253643111728, 6.12276266832885, 10.1959301311199, 12.252019099932, 11.380879979123,</v>
      </c>
    </row>
    <row r="39" spans="1:24" ht="14.25" customHeight="1" x14ac:dyDescent="0.2">
      <c r="A39" s="28"/>
      <c r="B39" s="1" t="s">
        <v>9</v>
      </c>
      <c r="C39" s="59">
        <v>91.901069016687885</v>
      </c>
      <c r="D39" s="33">
        <v>90.775705766309358</v>
      </c>
      <c r="E39" s="33">
        <v>89.118778828783476</v>
      </c>
      <c r="F39" s="33">
        <v>81.807805146993545</v>
      </c>
      <c r="G39" s="33">
        <v>67.580674426782423</v>
      </c>
      <c r="H39" s="33">
        <v>54.866143879803296</v>
      </c>
      <c r="I39" s="53">
        <v>35.063782253515001</v>
      </c>
      <c r="J39" s="87">
        <f t="shared" si="11"/>
        <v>187.37727249919578</v>
      </c>
      <c r="K39" s="7"/>
      <c r="L39" t="str">
        <f t="shared" si="16"/>
        <v xml:space="preserve">    91.9010690166879, 90.7757057663094, 89.1187788287835, 81.8078051469935, 67.5806744267824, 54.8661438798033, 35.063782253515,</v>
      </c>
      <c r="M39" s="28"/>
      <c r="N39" s="1" t="s">
        <v>9</v>
      </c>
      <c r="O39" s="59">
        <v>5.4013666957262974</v>
      </c>
      <c r="P39" s="33">
        <v>5.2467571841511997</v>
      </c>
      <c r="Q39" s="33">
        <v>5.0474371423237896</v>
      </c>
      <c r="R39" s="33">
        <v>5.8485988298266554</v>
      </c>
      <c r="S39" s="33">
        <v>9.8966499551523306</v>
      </c>
      <c r="T39" s="33">
        <v>11.855063239448899</v>
      </c>
      <c r="U39" s="53">
        <v>8.815975853013768</v>
      </c>
      <c r="V39" s="7">
        <f t="shared" si="15"/>
        <v>28.348470438801485</v>
      </c>
      <c r="X39" t="str">
        <f t="shared" si="17"/>
        <v xml:space="preserve">    5.4013666957263, 5.2467571841512, 5.04743714232379, 5.84859882982666, 9.89664995515233, 11.8550632394489, 8.81597585301377,</v>
      </c>
    </row>
    <row r="40" spans="1:24" ht="14.25" customHeight="1" x14ac:dyDescent="0.2">
      <c r="A40" s="28"/>
      <c r="B40" s="1" t="s">
        <v>10</v>
      </c>
      <c r="C40" s="59">
        <v>91.371506702991965</v>
      </c>
      <c r="D40" s="33">
        <v>89.968006670987748</v>
      </c>
      <c r="E40" s="33">
        <v>89.238892295051869</v>
      </c>
      <c r="F40" s="33">
        <v>83.542227610514473</v>
      </c>
      <c r="G40" s="33">
        <v>75.124819029667577</v>
      </c>
      <c r="H40" s="33">
        <v>58.12044112845318</v>
      </c>
      <c r="I40" s="53">
        <v>45.457551241547471</v>
      </c>
      <c r="J40" s="87">
        <f t="shared" si="11"/>
        <v>205.05129650838271</v>
      </c>
      <c r="K40" s="7"/>
      <c r="L40" t="str">
        <f t="shared" si="16"/>
        <v xml:space="preserve">    91.371506702992, 89.9680066709877, 89.2388922950519, 83.5422276105145, 75.1248190296676, 58.1204411284532, 45.4575512415475,</v>
      </c>
      <c r="M40" s="28"/>
      <c r="N40" s="1" t="s">
        <v>10</v>
      </c>
      <c r="O40" s="59">
        <v>4.5996096709960588</v>
      </c>
      <c r="P40" s="33">
        <v>5.2460302610197509</v>
      </c>
      <c r="Q40" s="33">
        <v>4.4066459833475413</v>
      </c>
      <c r="R40" s="33">
        <v>5.4445287148155694</v>
      </c>
      <c r="S40" s="33">
        <v>8.1821062781921441</v>
      </c>
      <c r="T40" s="33">
        <v>11.16426394293519</v>
      </c>
      <c r="U40" s="53">
        <v>11.3826170789026</v>
      </c>
      <c r="V40" s="7">
        <f t="shared" si="15"/>
        <v>28.64977118294032</v>
      </c>
      <c r="X40" t="str">
        <f t="shared" si="17"/>
        <v xml:space="preserve">    4.59960967099606, 5.24603026101975, 4.40664598334754, 5.44452871481557, 8.18210627819214, 11.1642639429352, 11.3826170789026,</v>
      </c>
    </row>
    <row r="41" spans="1:24" ht="14.25" customHeight="1" x14ac:dyDescent="0.2">
      <c r="A41" s="28"/>
      <c r="B41" s="1" t="s">
        <v>11</v>
      </c>
      <c r="C41" s="59">
        <v>92.399354037840581</v>
      </c>
      <c r="D41" s="33">
        <v>90.878823394131089</v>
      </c>
      <c r="E41" s="33">
        <v>88.727938792136257</v>
      </c>
      <c r="F41" s="33">
        <v>81.397705657398305</v>
      </c>
      <c r="G41" s="33">
        <v>67.767775486648446</v>
      </c>
      <c r="H41" s="33">
        <v>54.134806187016885</v>
      </c>
      <c r="I41" s="53">
        <v>32.33119186929342</v>
      </c>
      <c r="J41" s="87">
        <f t="shared" si="11"/>
        <v>184.1462569172684</v>
      </c>
      <c r="K41" s="7"/>
      <c r="L41" t="str">
        <f t="shared" si="16"/>
        <v xml:space="preserve">    92.3993540378406, 90.8788233941311, 88.7279387921363, 81.3977056573983, 67.7677754866484, 54.1348061870169, 32.3311918692934,</v>
      </c>
      <c r="M41" s="28"/>
      <c r="N41" s="1" t="s">
        <v>11</v>
      </c>
      <c r="O41" s="59">
        <v>4.3917014329531554</v>
      </c>
      <c r="P41" s="33">
        <v>5.1012019594731566</v>
      </c>
      <c r="Q41" s="33">
        <v>5.2904856871545709</v>
      </c>
      <c r="R41" s="33">
        <v>5.9624342291596149</v>
      </c>
      <c r="S41" s="33">
        <v>10.265966872649079</v>
      </c>
      <c r="T41" s="33">
        <v>12.31626951085121</v>
      </c>
      <c r="U41" s="53">
        <v>10.164755529604539</v>
      </c>
      <c r="V41" s="7">
        <f t="shared" si="15"/>
        <v>30.283128284296915</v>
      </c>
      <c r="X41" t="str">
        <f t="shared" si="17"/>
        <v xml:space="preserve">    4.39170143295316, 5.10120195947316, 5.29048568715457, 5.96243422915961, 10.2659668726491, 12.3162695108512, 10.1647555296045,</v>
      </c>
    </row>
    <row r="42" spans="1:24" ht="14.25" customHeight="1" x14ac:dyDescent="0.2">
      <c r="A42" s="28"/>
      <c r="B42" s="1" t="s">
        <v>12</v>
      </c>
      <c r="C42" s="59">
        <v>92.714289958418874</v>
      </c>
      <c r="D42" s="33">
        <v>91.02393489239094</v>
      </c>
      <c r="E42" s="33">
        <v>88.910449900286224</v>
      </c>
      <c r="F42" s="33">
        <v>81.948833178370251</v>
      </c>
      <c r="G42" s="33">
        <v>67.014405744081913</v>
      </c>
      <c r="H42" s="33">
        <v>54.74014418496774</v>
      </c>
      <c r="I42" s="53">
        <v>33.325295862330478</v>
      </c>
      <c r="J42" s="87">
        <f t="shared" si="11"/>
        <v>185.37635264503697</v>
      </c>
      <c r="K42" s="7"/>
      <c r="L42" t="str">
        <f t="shared" si="16"/>
        <v xml:space="preserve">    92.7142899584189, 91.0239348923909, 88.9104499002862, 81.9488331783703, 67.0144057440819, 54.7401441849677, 33.3252958623305,</v>
      </c>
      <c r="M42" s="28"/>
      <c r="N42" s="1" t="s">
        <v>12</v>
      </c>
      <c r="O42" s="59">
        <v>4.2135433317047948</v>
      </c>
      <c r="P42" s="33">
        <v>4.9125566921506332</v>
      </c>
      <c r="Q42" s="33">
        <v>4.9962509465528635</v>
      </c>
      <c r="R42" s="33">
        <v>6.3022486051283018</v>
      </c>
      <c r="S42" s="33">
        <v>11.18146571143159</v>
      </c>
      <c r="T42" s="33">
        <v>11.292420664283449</v>
      </c>
      <c r="U42" s="53">
        <v>8.8844223190900244</v>
      </c>
      <c r="V42" s="7">
        <f t="shared" si="15"/>
        <v>28.96538928277506</v>
      </c>
      <c r="X42" t="str">
        <f t="shared" si="17"/>
        <v xml:space="preserve">    4.21354333170479, 4.91255669215063, 4.99625094655286, 6.3022486051283, 11.1814657114316, 11.2924206642834, 8.88442231909002,</v>
      </c>
    </row>
    <row r="43" spans="1:24" ht="14.25" customHeight="1" thickBot="1" x14ac:dyDescent="0.25">
      <c r="A43" s="29"/>
      <c r="B43" s="2" t="s">
        <v>13</v>
      </c>
      <c r="C43" s="60">
        <v>92.403238328667697</v>
      </c>
      <c r="D43" s="54">
        <v>90.83648863231447</v>
      </c>
      <c r="E43" s="54">
        <v>89.071478979314449</v>
      </c>
      <c r="F43" s="54">
        <v>80.361012156120736</v>
      </c>
      <c r="G43" s="54">
        <v>68.518364094406905</v>
      </c>
      <c r="H43" s="54">
        <v>54.628199660566715</v>
      </c>
      <c r="I43" s="55">
        <v>35.432199585505657</v>
      </c>
      <c r="J43" s="87">
        <f t="shared" si="11"/>
        <v>187.40020111224572</v>
      </c>
      <c r="K43" s="7"/>
      <c r="L43" t="str">
        <f t="shared" si="16"/>
        <v xml:space="preserve">    92.4032383286677, 90.8364886323145, 89.0714789793144, 80.3610121561207, 68.5183640944069, 54.6281996605667, 35.4321995855057,</v>
      </c>
      <c r="M43" s="29"/>
      <c r="N43" s="2" t="s">
        <v>13</v>
      </c>
      <c r="O43" s="60">
        <v>4.3509353393671439</v>
      </c>
      <c r="P43" s="54">
        <v>4.8878944565608835</v>
      </c>
      <c r="Q43" s="54">
        <v>5.9430982879733394</v>
      </c>
      <c r="R43" s="54">
        <v>6.7933027507236172</v>
      </c>
      <c r="S43" s="54">
        <v>10.02069325873912</v>
      </c>
      <c r="T43" s="54">
        <v>11.59462040609618</v>
      </c>
      <c r="U43" s="55">
        <v>9.2176207548397482</v>
      </c>
      <c r="V43" s="7">
        <f t="shared" si="15"/>
        <v>29.243775269156778</v>
      </c>
      <c r="X43" t="str">
        <f t="shared" si="17"/>
        <v xml:space="preserve">    4.35093533936714, 4.88789445656088, 5.94309828797334, 6.79330275072362, 10.0206932587391, 11.5946204060962, 9.21762075483975,</v>
      </c>
    </row>
    <row r="45" spans="1:24" x14ac:dyDescent="0.2">
      <c r="C45" s="34"/>
      <c r="D45" s="34"/>
      <c r="E45" s="34"/>
      <c r="F45" s="34"/>
      <c r="G45" s="34"/>
      <c r="H45" s="34"/>
      <c r="I45" s="34"/>
      <c r="L45" s="34"/>
      <c r="M45" s="34"/>
      <c r="N45" s="34"/>
      <c r="O45" s="34"/>
      <c r="P45" s="34"/>
      <c r="Q45" s="34"/>
      <c r="R45" s="34"/>
    </row>
    <row r="46" spans="1:24" x14ac:dyDescent="0.2">
      <c r="R46" s="34"/>
    </row>
    <row r="47" spans="1:24" x14ac:dyDescent="0.2">
      <c r="C47" s="71"/>
      <c r="D47" s="73"/>
      <c r="E47" s="75"/>
      <c r="F47" s="77"/>
      <c r="G47" s="79"/>
      <c r="H47" s="81"/>
      <c r="I47" s="83"/>
      <c r="L47" s="71"/>
      <c r="M47" s="73"/>
      <c r="N47" s="75"/>
      <c r="O47" s="77"/>
      <c r="P47" s="79"/>
      <c r="Q47" s="81"/>
      <c r="R47" s="83"/>
    </row>
    <row r="48" spans="1:24" x14ac:dyDescent="0.2">
      <c r="R48" s="34"/>
    </row>
    <row r="50" spans="3:18" x14ac:dyDescent="0.2">
      <c r="C50" s="72"/>
      <c r="D50" s="74"/>
      <c r="E50" s="76"/>
      <c r="F50" s="78"/>
      <c r="G50" s="80"/>
      <c r="H50" s="82"/>
      <c r="I50" s="84"/>
      <c r="L50" s="72"/>
      <c r="M50" s="74"/>
      <c r="N50" s="76"/>
      <c r="O50" s="78"/>
      <c r="P50" s="80"/>
      <c r="Q50" s="82"/>
      <c r="R50" s="84"/>
    </row>
    <row r="51" spans="3:18" x14ac:dyDescent="0.2">
      <c r="J51" s="34"/>
      <c r="R51" s="34"/>
    </row>
    <row r="52" spans="3:18" x14ac:dyDescent="0.2"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</row>
    <row r="53" spans="3:18" x14ac:dyDescent="0.2">
      <c r="K53" s="61"/>
      <c r="L53" s="61"/>
      <c r="M53" s="61"/>
      <c r="N53" s="61"/>
      <c r="O53" s="61"/>
      <c r="P53" s="61"/>
      <c r="Q53" s="61"/>
    </row>
    <row r="54" spans="3:18" x14ac:dyDescent="0.2">
      <c r="C54" s="51"/>
      <c r="D54" s="51"/>
      <c r="E54" s="51"/>
      <c r="F54" s="51"/>
      <c r="G54" s="51"/>
      <c r="H54" s="51"/>
      <c r="I54" s="51"/>
      <c r="J54" s="51"/>
      <c r="K54" s="61"/>
      <c r="L54" s="61"/>
      <c r="M54" s="61"/>
      <c r="N54" s="61"/>
      <c r="O54" s="61"/>
      <c r="P54" s="61"/>
      <c r="Q54" s="61"/>
      <c r="R54" s="51"/>
    </row>
    <row r="55" spans="3:18" x14ac:dyDescent="0.2">
      <c r="C55" s="51"/>
      <c r="D55" s="51"/>
      <c r="E55" s="51"/>
      <c r="F55" s="51"/>
      <c r="G55" s="51"/>
      <c r="H55" s="51"/>
      <c r="I55" s="51"/>
      <c r="J55" s="51"/>
      <c r="K55" s="61"/>
      <c r="L55" s="61"/>
      <c r="M55" s="61"/>
      <c r="N55" s="61"/>
      <c r="O55" s="61"/>
      <c r="P55" s="61"/>
      <c r="Q55" s="61"/>
      <c r="R55" s="51"/>
    </row>
    <row r="56" spans="3:18" x14ac:dyDescent="0.2">
      <c r="R56" s="51"/>
    </row>
    <row r="57" spans="3:18" x14ac:dyDescent="0.2">
      <c r="R57" s="51"/>
    </row>
    <row r="58" spans="3:18" x14ac:dyDescent="0.2">
      <c r="J58" s="34"/>
      <c r="R58" s="51"/>
    </row>
    <row r="59" spans="3:18" x14ac:dyDescent="0.2">
      <c r="J59" s="34"/>
      <c r="R59" s="51"/>
    </row>
    <row r="60" spans="3:18" x14ac:dyDescent="0.2">
      <c r="J60" s="34"/>
      <c r="R60" s="51"/>
    </row>
    <row r="61" spans="3:18" x14ac:dyDescent="0.2">
      <c r="J61" s="34"/>
    </row>
    <row r="65" spans="4:17" x14ac:dyDescent="0.2">
      <c r="L65" s="51"/>
      <c r="M65" s="51"/>
      <c r="N65" s="51"/>
      <c r="O65" s="51"/>
      <c r="P65" s="51"/>
      <c r="Q65" s="51"/>
    </row>
    <row r="66" spans="4:17" x14ac:dyDescent="0.2">
      <c r="F66" s="34"/>
      <c r="K66" s="51"/>
      <c r="L66" s="51"/>
      <c r="M66" s="51"/>
      <c r="N66" s="51"/>
      <c r="O66" s="51"/>
      <c r="P66" s="51"/>
      <c r="Q66" s="51"/>
    </row>
    <row r="67" spans="4:17" x14ac:dyDescent="0.2">
      <c r="K67" s="51"/>
      <c r="L67" s="51"/>
      <c r="M67" s="51"/>
      <c r="N67" s="51"/>
      <c r="O67" s="51"/>
      <c r="P67" s="51"/>
      <c r="Q67" s="51"/>
    </row>
    <row r="68" spans="4:17" x14ac:dyDescent="0.2">
      <c r="K68" s="51"/>
      <c r="L68" s="51"/>
      <c r="M68" s="51"/>
      <c r="N68" s="51"/>
      <c r="O68" s="51"/>
      <c r="P68" s="51"/>
      <c r="Q68" s="51"/>
    </row>
    <row r="69" spans="4:17" x14ac:dyDescent="0.2">
      <c r="K69" s="51"/>
      <c r="L69" s="51"/>
      <c r="M69" s="51"/>
      <c r="N69" s="51"/>
      <c r="O69" s="51"/>
      <c r="P69" s="51"/>
      <c r="Q69" s="51"/>
    </row>
    <row r="70" spans="4:17" x14ac:dyDescent="0.2">
      <c r="K70" s="51"/>
      <c r="L70" s="51"/>
      <c r="M70" s="51"/>
      <c r="N70" s="51"/>
      <c r="O70" s="51"/>
      <c r="P70" s="51"/>
      <c r="Q70" s="51"/>
    </row>
    <row r="71" spans="4:17" x14ac:dyDescent="0.2">
      <c r="K71" s="51"/>
      <c r="L71" s="51"/>
      <c r="M71" s="51"/>
      <c r="N71" s="51"/>
      <c r="O71" s="51"/>
      <c r="P71" s="51"/>
      <c r="Q71" s="51"/>
    </row>
    <row r="72" spans="4:17" x14ac:dyDescent="0.2">
      <c r="K72" s="51"/>
      <c r="L72" s="51"/>
      <c r="M72" s="51"/>
      <c r="N72" s="51"/>
      <c r="O72" s="51"/>
      <c r="P72" s="51"/>
      <c r="Q72" s="51"/>
    </row>
    <row r="73" spans="4:17" x14ac:dyDescent="0.2">
      <c r="K73" s="51"/>
      <c r="L73" s="51"/>
      <c r="M73" s="51"/>
      <c r="N73" s="51"/>
      <c r="O73" s="51"/>
      <c r="P73" s="51"/>
      <c r="Q73" s="51"/>
    </row>
    <row r="74" spans="4:17" x14ac:dyDescent="0.2">
      <c r="K74" s="51"/>
      <c r="L74" s="51"/>
      <c r="M74" s="51"/>
      <c r="N74" s="51"/>
      <c r="O74" s="51"/>
      <c r="P74" s="51"/>
      <c r="Q74" s="51"/>
    </row>
    <row r="75" spans="4:17" x14ac:dyDescent="0.2">
      <c r="D75" s="34"/>
      <c r="K75" s="51"/>
      <c r="L75" s="51"/>
      <c r="M75" s="51"/>
      <c r="N75" s="51"/>
      <c r="O75" s="51"/>
      <c r="P75" s="51"/>
      <c r="Q75" s="51"/>
    </row>
    <row r="76" spans="4:17" x14ac:dyDescent="0.2">
      <c r="K76" s="51"/>
      <c r="L76" s="51"/>
      <c r="M76" s="51"/>
      <c r="N76" s="51"/>
      <c r="O76" s="51"/>
      <c r="P76" s="51"/>
      <c r="Q76" s="51"/>
    </row>
    <row r="77" spans="4:17" x14ac:dyDescent="0.2">
      <c r="K77" s="51"/>
      <c r="L77" s="51"/>
      <c r="M77" s="51"/>
      <c r="N77" s="51"/>
      <c r="O77" s="51"/>
      <c r="P77" s="51"/>
      <c r="Q77" s="51"/>
    </row>
    <row r="78" spans="4:17" x14ac:dyDescent="0.2">
      <c r="K78" s="51"/>
      <c r="L78" s="51"/>
      <c r="M78" s="51"/>
      <c r="N78" s="51"/>
      <c r="O78" s="51"/>
      <c r="P78" s="51"/>
      <c r="Q78" s="51"/>
    </row>
    <row r="79" spans="4:17" x14ac:dyDescent="0.2">
      <c r="K79" s="51"/>
      <c r="L79" s="51"/>
      <c r="M79" s="51"/>
      <c r="N79" s="51"/>
      <c r="O79" s="51"/>
      <c r="P79" s="51"/>
      <c r="Q79" s="51"/>
    </row>
    <row r="80" spans="4:17" x14ac:dyDescent="0.2">
      <c r="K80" s="51"/>
      <c r="L80" s="51"/>
      <c r="M80" s="51"/>
      <c r="N80" s="51"/>
      <c r="O80" s="51"/>
      <c r="P80" s="51"/>
      <c r="Q80" s="51"/>
    </row>
    <row r="81" spans="11:17" x14ac:dyDescent="0.2">
      <c r="K81" s="51"/>
      <c r="L81" s="51"/>
      <c r="M81" s="51"/>
      <c r="N81" s="51"/>
      <c r="O81" s="51"/>
      <c r="P81" s="51"/>
      <c r="Q81" s="51"/>
    </row>
    <row r="82" spans="11:17" x14ac:dyDescent="0.2">
      <c r="K82" s="51"/>
      <c r="L82" s="51"/>
      <c r="M82" s="51"/>
      <c r="N82" s="51"/>
      <c r="O82" s="51"/>
      <c r="P82" s="51"/>
      <c r="Q82" s="51"/>
    </row>
    <row r="83" spans="11:17" x14ac:dyDescent="0.2">
      <c r="K83" s="51"/>
      <c r="L83" s="51"/>
      <c r="M83" s="51"/>
      <c r="N83" s="51"/>
      <c r="O83" s="51"/>
      <c r="P83" s="51"/>
      <c r="Q83" s="51"/>
    </row>
    <row r="84" spans="11:17" x14ac:dyDescent="0.2">
      <c r="K84" s="51"/>
      <c r="L84" s="51"/>
      <c r="M84" s="51"/>
      <c r="N84" s="51"/>
      <c r="O84" s="51"/>
      <c r="P84" s="51"/>
      <c r="Q84" s="51"/>
    </row>
    <row r="85" spans="11:17" x14ac:dyDescent="0.2">
      <c r="K85" s="51"/>
      <c r="L85" s="51"/>
      <c r="M85" s="51"/>
      <c r="N85" s="51"/>
      <c r="O85" s="51"/>
      <c r="P85" s="51"/>
      <c r="Q85" s="51"/>
    </row>
    <row r="86" spans="11:17" x14ac:dyDescent="0.2">
      <c r="K86" s="51"/>
      <c r="L86" s="51"/>
      <c r="M86" s="51"/>
      <c r="N86" s="51"/>
      <c r="O86" s="51"/>
      <c r="P86" s="51"/>
      <c r="Q86" s="51"/>
    </row>
    <row r="87" spans="11:17" x14ac:dyDescent="0.2">
      <c r="K87" s="51"/>
      <c r="L87" s="51"/>
      <c r="M87" s="51"/>
      <c r="N87" s="51"/>
      <c r="O87" s="51"/>
      <c r="P87" s="51"/>
      <c r="Q87" s="51"/>
    </row>
  </sheetData>
  <mergeCells count="32">
    <mergeCell ref="A36:I36"/>
    <mergeCell ref="M36:U36"/>
    <mergeCell ref="A37:A43"/>
    <mergeCell ref="M37:M43"/>
    <mergeCell ref="A26:I26"/>
    <mergeCell ref="M26:U26"/>
    <mergeCell ref="A27:A33"/>
    <mergeCell ref="M27:N27"/>
    <mergeCell ref="M28:N28"/>
    <mergeCell ref="M29:N29"/>
    <mergeCell ref="M30:N30"/>
    <mergeCell ref="M31:N31"/>
    <mergeCell ref="M32:N32"/>
    <mergeCell ref="M33:N33"/>
    <mergeCell ref="A14:I14"/>
    <mergeCell ref="M14:U14"/>
    <mergeCell ref="A15:A21"/>
    <mergeCell ref="M15:M21"/>
    <mergeCell ref="A24:B24"/>
    <mergeCell ref="M24:N24"/>
    <mergeCell ref="M10:N10"/>
    <mergeCell ref="M11:N11"/>
    <mergeCell ref="A2:B2"/>
    <mergeCell ref="M2:N2"/>
    <mergeCell ref="A4:I4"/>
    <mergeCell ref="M4:U4"/>
    <mergeCell ref="A5:A11"/>
    <mergeCell ref="M5:N5"/>
    <mergeCell ref="M6:N6"/>
    <mergeCell ref="M7:N7"/>
    <mergeCell ref="M8:N8"/>
    <mergeCell ref="M9:N9"/>
  </mergeCells>
  <phoneticPr fontId="1" type="noConversion"/>
  <conditionalFormatting sqref="C2:I2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3 C5:I11 C13:I13 C15:I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pcc_Residual_partio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2025-11-13T07:41:37Z</dcterms:modified>
</cp:coreProperties>
</file>